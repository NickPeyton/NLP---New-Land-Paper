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cuments\Axminster Heritage\All Devon 1801 to 1831\"/>
    </mc:Choice>
  </mc:AlternateContent>
  <bookViews>
    <workbookView xWindow="360" yWindow="120" windowWidth="15480" windowHeight="11640"/>
  </bookViews>
  <sheets>
    <sheet name="Full 1801-31 data set" sheetId="1" r:id="rId1"/>
    <sheet name=" Parish Types" sheetId="5" r:id="rId2"/>
    <sheet name="Hundreds" sheetId="3" r:id="rId3"/>
    <sheet name=" Deaneries" sheetId="4" r:id="rId4"/>
    <sheet name="Modern Districts" sheetId="8" r:id="rId5"/>
    <sheet name="Vancouver Dictricts" sheetId="2" r:id="rId6"/>
  </sheets>
  <definedNames>
    <definedName name="_xlnm._FilterDatabase" localSheetId="3" hidden="1">' Deaneries'!$A$1:$Y$27</definedName>
    <definedName name="_xlnm._FilterDatabase" localSheetId="1" hidden="1">' Parish Types'!$A$1:$Y$11</definedName>
    <definedName name="_xlnm._FilterDatabase" localSheetId="0" hidden="1">'Full 1801-31 data set'!$A$3:$AJ$484</definedName>
    <definedName name="_xlnm._FilterDatabase" localSheetId="2" hidden="1">Hundreds!$A$1:$Y$33</definedName>
    <definedName name="_xlnm._FilterDatabase" localSheetId="4" hidden="1">'Modern Districts'!$A$1:$Y$16</definedName>
    <definedName name="_xlnm._FilterDatabase" localSheetId="5" hidden="1">'Vancouver Dictricts'!$A$1:$Y$9</definedName>
    <definedName name="CSV_file" localSheetId="0">'Full 1801-31 data set'!#REF!</definedName>
    <definedName name="CSV_file_1" localSheetId="0">'Full 1801-31 data set'!#REF!</definedName>
  </definedNames>
  <calcPr calcId="152511"/>
</workbook>
</file>

<file path=xl/calcChain.xml><?xml version="1.0" encoding="utf-8"?>
<calcChain xmlns="http://schemas.openxmlformats.org/spreadsheetml/2006/main">
  <c r="W15" i="8" l="1"/>
  <c r="Q15" i="8"/>
  <c r="P15" i="8"/>
  <c r="O15" i="8"/>
  <c r="G15" i="8"/>
  <c r="W16" i="8"/>
  <c r="Q16" i="8"/>
  <c r="P16" i="8"/>
  <c r="O16" i="8"/>
  <c r="G16" i="8"/>
  <c r="F16" i="8"/>
  <c r="E16" i="8"/>
  <c r="D16" i="8"/>
  <c r="C16" i="8"/>
  <c r="B16" i="8"/>
  <c r="W11" i="8"/>
  <c r="Q11" i="8"/>
  <c r="P11" i="8"/>
  <c r="O11" i="8"/>
  <c r="G11" i="8"/>
  <c r="F11" i="8"/>
  <c r="E11" i="8"/>
  <c r="D11" i="8"/>
  <c r="C11" i="8"/>
  <c r="B11" i="8"/>
  <c r="W10" i="8"/>
  <c r="Q10" i="8"/>
  <c r="P10" i="8"/>
  <c r="O10" i="8"/>
  <c r="G10" i="8"/>
  <c r="F10" i="8"/>
  <c r="E10" i="8"/>
  <c r="D10" i="8"/>
  <c r="C10" i="8"/>
  <c r="B10" i="8"/>
  <c r="W9" i="8"/>
  <c r="Q9" i="8"/>
  <c r="P9" i="8"/>
  <c r="O9" i="8"/>
  <c r="G9" i="8"/>
  <c r="F9" i="8"/>
  <c r="E9" i="8"/>
  <c r="D9" i="8"/>
  <c r="C9" i="8"/>
  <c r="B9" i="8"/>
  <c r="W8" i="8"/>
  <c r="Q8" i="8"/>
  <c r="P8" i="8"/>
  <c r="O8" i="8"/>
  <c r="G8" i="8"/>
  <c r="F8" i="8"/>
  <c r="E8" i="8"/>
  <c r="D8" i="8"/>
  <c r="C8" i="8"/>
  <c r="B8" i="8"/>
  <c r="W7" i="8"/>
  <c r="Q7" i="8"/>
  <c r="P7" i="8"/>
  <c r="O7" i="8"/>
  <c r="G7" i="8"/>
  <c r="F7" i="8"/>
  <c r="E7" i="8"/>
  <c r="D7" i="8"/>
  <c r="C7" i="8"/>
  <c r="B7" i="8"/>
  <c r="W6" i="8"/>
  <c r="Q6" i="8"/>
  <c r="P6" i="8"/>
  <c r="O6" i="8"/>
  <c r="G6" i="8"/>
  <c r="F6" i="8"/>
  <c r="E6" i="8"/>
  <c r="D6" i="8"/>
  <c r="C6" i="8"/>
  <c r="B6" i="8"/>
  <c r="W5" i="8"/>
  <c r="Q5" i="8"/>
  <c r="P5" i="8"/>
  <c r="O5" i="8"/>
  <c r="G5" i="8"/>
  <c r="F5" i="8"/>
  <c r="E5" i="8"/>
  <c r="D5" i="8"/>
  <c r="C5" i="8"/>
  <c r="B5" i="8"/>
  <c r="W4" i="8"/>
  <c r="Q4" i="8"/>
  <c r="P4" i="8"/>
  <c r="O4" i="8"/>
  <c r="G4" i="8"/>
  <c r="F4" i="8"/>
  <c r="E4" i="8"/>
  <c r="D4" i="8"/>
  <c r="C4" i="8"/>
  <c r="B4" i="8"/>
  <c r="W3" i="8"/>
  <c r="Q3" i="8"/>
  <c r="P3" i="8"/>
  <c r="O3" i="8"/>
  <c r="G3" i="8"/>
  <c r="F3" i="8"/>
  <c r="E3" i="8"/>
  <c r="D3" i="8"/>
  <c r="C3" i="8"/>
  <c r="B3" i="8"/>
  <c r="W2" i="8"/>
  <c r="Q2" i="8"/>
  <c r="P2" i="8"/>
  <c r="O2" i="8"/>
  <c r="G2" i="8"/>
  <c r="F2" i="8"/>
  <c r="E2" i="8"/>
  <c r="D2" i="8"/>
  <c r="C2" i="8"/>
  <c r="B2" i="8"/>
  <c r="U15" i="8" l="1"/>
  <c r="S15" i="8"/>
  <c r="R3" i="8"/>
  <c r="V15" i="8"/>
  <c r="X15" i="8" s="1"/>
  <c r="T15" i="8"/>
  <c r="C13" i="8"/>
  <c r="C17" i="8" s="1"/>
  <c r="W13" i="8"/>
  <c r="W17" i="8" s="1"/>
  <c r="K2" i="8"/>
  <c r="S3" i="8"/>
  <c r="K4" i="8"/>
  <c r="U4" i="8"/>
  <c r="R15" i="8"/>
  <c r="U7" i="8"/>
  <c r="B13" i="8"/>
  <c r="B17" i="8" s="1"/>
  <c r="Q13" i="8"/>
  <c r="Q17" i="8" s="1"/>
  <c r="R10" i="8"/>
  <c r="P13" i="8"/>
  <c r="P17" i="8" s="1"/>
  <c r="E13" i="8"/>
  <c r="E17" i="8" s="1"/>
  <c r="U8" i="8"/>
  <c r="I4" i="8"/>
  <c r="S4" i="8"/>
  <c r="G13" i="8"/>
  <c r="G17" i="8" s="1"/>
  <c r="I5" i="8"/>
  <c r="S5" i="8"/>
  <c r="S7" i="8"/>
  <c r="I9" i="8"/>
  <c r="S9" i="8"/>
  <c r="S11" i="8"/>
  <c r="D13" i="8"/>
  <c r="D17" i="8" s="1"/>
  <c r="O13" i="8"/>
  <c r="O17" i="8" s="1"/>
  <c r="K5" i="8"/>
  <c r="I6" i="8"/>
  <c r="S8" i="8"/>
  <c r="I16" i="8"/>
  <c r="R16" i="8"/>
  <c r="F13" i="8"/>
  <c r="F17" i="8" s="1"/>
  <c r="R7" i="8"/>
  <c r="I3" i="8"/>
  <c r="I11" i="8"/>
  <c r="T16" i="8"/>
  <c r="K9" i="8"/>
  <c r="I10" i="8"/>
  <c r="I7" i="8"/>
  <c r="I8" i="8"/>
  <c r="I2" i="8"/>
  <c r="S2" i="8"/>
  <c r="K3" i="8"/>
  <c r="T3" i="8"/>
  <c r="R4" i="8"/>
  <c r="R5" i="8"/>
  <c r="K7" i="8"/>
  <c r="K8" i="8"/>
  <c r="K11" i="8"/>
  <c r="H6" i="8"/>
  <c r="V11" i="8"/>
  <c r="X11" i="8" s="1"/>
  <c r="H2" i="8"/>
  <c r="H8" i="8"/>
  <c r="H11" i="8"/>
  <c r="U3" i="8"/>
  <c r="H4" i="8"/>
  <c r="V4" i="8"/>
  <c r="X4" i="8" s="1"/>
  <c r="H5" i="8"/>
  <c r="R6" i="8"/>
  <c r="H7" i="8"/>
  <c r="V7" i="8"/>
  <c r="X7" i="8" s="1"/>
  <c r="T8" i="8"/>
  <c r="T9" i="8"/>
  <c r="K10" i="8"/>
  <c r="S10" i="8"/>
  <c r="V10" i="8"/>
  <c r="X10" i="8" s="1"/>
  <c r="T11" i="8"/>
  <c r="K16" i="8"/>
  <c r="S16" i="8"/>
  <c r="V16" i="8"/>
  <c r="X16" i="8" s="1"/>
  <c r="V2" i="8"/>
  <c r="X2" i="8" s="1"/>
  <c r="V9" i="8"/>
  <c r="X9" i="8" s="1"/>
  <c r="V5" i="8"/>
  <c r="X5" i="8" s="1"/>
  <c r="T6" i="8"/>
  <c r="V8" i="8"/>
  <c r="X8" i="8" s="1"/>
  <c r="H9" i="8"/>
  <c r="L16" i="8"/>
  <c r="T2" i="8"/>
  <c r="R2" i="8"/>
  <c r="H3" i="8"/>
  <c r="V3" i="8"/>
  <c r="X3" i="8" s="1"/>
  <c r="T4" i="8"/>
  <c r="T5" i="8"/>
  <c r="K6" i="8"/>
  <c r="S6" i="8"/>
  <c r="V6" i="8"/>
  <c r="X6" i="8" s="1"/>
  <c r="T7" i="8"/>
  <c r="R8" i="8"/>
  <c r="R9" i="8"/>
  <c r="H10" i="8"/>
  <c r="L11" i="8"/>
  <c r="R11" i="8"/>
  <c r="H16" i="8"/>
  <c r="L5" i="8"/>
  <c r="J5" i="8"/>
  <c r="M5" i="8"/>
  <c r="L9" i="8"/>
  <c r="J9" i="8"/>
  <c r="M9" i="8"/>
  <c r="L2" i="8"/>
  <c r="J2" i="8"/>
  <c r="M2" i="8"/>
  <c r="L6" i="8"/>
  <c r="J6" i="8"/>
  <c r="M6" i="8"/>
  <c r="L10" i="8"/>
  <c r="J10" i="8"/>
  <c r="M10" i="8"/>
  <c r="T10" i="8"/>
  <c r="U10" i="8"/>
  <c r="L3" i="8"/>
  <c r="J3" i="8"/>
  <c r="M3" i="8"/>
  <c r="U5" i="8"/>
  <c r="L7" i="8"/>
  <c r="J7" i="8"/>
  <c r="M7" i="8"/>
  <c r="U9" i="8"/>
  <c r="U2" i="8"/>
  <c r="L4" i="8"/>
  <c r="J4" i="8"/>
  <c r="M4" i="8"/>
  <c r="U6" i="8"/>
  <c r="L8" i="8"/>
  <c r="J8" i="8"/>
  <c r="M8" i="8"/>
  <c r="M11" i="8"/>
  <c r="U11" i="8"/>
  <c r="M16" i="8"/>
  <c r="U16" i="8"/>
  <c r="J11" i="8"/>
  <c r="J16" i="8"/>
  <c r="W9" i="2"/>
  <c r="W8" i="2"/>
  <c r="W7" i="2"/>
  <c r="W6" i="2"/>
  <c r="W5" i="2"/>
  <c r="W4" i="2"/>
  <c r="W3" i="2"/>
  <c r="W2" i="2"/>
  <c r="Q9" i="2"/>
  <c r="P9" i="2"/>
  <c r="O9" i="2"/>
  <c r="Q8" i="2"/>
  <c r="P8" i="2"/>
  <c r="O8" i="2"/>
  <c r="Q7" i="2"/>
  <c r="P7" i="2"/>
  <c r="O7" i="2"/>
  <c r="Q6" i="2"/>
  <c r="P6" i="2"/>
  <c r="O6" i="2"/>
  <c r="Q5" i="2"/>
  <c r="P5" i="2"/>
  <c r="O5" i="2"/>
  <c r="Q4" i="2"/>
  <c r="P4" i="2"/>
  <c r="O4" i="2"/>
  <c r="Q3" i="2"/>
  <c r="P3" i="2"/>
  <c r="O3" i="2"/>
  <c r="Q2" i="2"/>
  <c r="P2" i="2"/>
  <c r="O2" i="2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Q27" i="4"/>
  <c r="P27" i="4"/>
  <c r="O27" i="4"/>
  <c r="Q26" i="4"/>
  <c r="P26" i="4"/>
  <c r="O26" i="4"/>
  <c r="Q25" i="4"/>
  <c r="P25" i="4"/>
  <c r="O25" i="4"/>
  <c r="Q24" i="4"/>
  <c r="P24" i="4"/>
  <c r="O24" i="4"/>
  <c r="Q23" i="4"/>
  <c r="P23" i="4"/>
  <c r="O23" i="4"/>
  <c r="Q22" i="4"/>
  <c r="P22" i="4"/>
  <c r="O22" i="4"/>
  <c r="Q21" i="4"/>
  <c r="P21" i="4"/>
  <c r="O21" i="4"/>
  <c r="Q20" i="4"/>
  <c r="P20" i="4"/>
  <c r="O20" i="4"/>
  <c r="Q19" i="4"/>
  <c r="P19" i="4"/>
  <c r="O19" i="4"/>
  <c r="Q18" i="4"/>
  <c r="P18" i="4"/>
  <c r="O18" i="4"/>
  <c r="Q17" i="4"/>
  <c r="P17" i="4"/>
  <c r="O17" i="4"/>
  <c r="Q16" i="4"/>
  <c r="P16" i="4"/>
  <c r="O16" i="4"/>
  <c r="Q15" i="4"/>
  <c r="P15" i="4"/>
  <c r="O15" i="4"/>
  <c r="Q14" i="4"/>
  <c r="P14" i="4"/>
  <c r="O14" i="4"/>
  <c r="Q13" i="4"/>
  <c r="P13" i="4"/>
  <c r="O13" i="4"/>
  <c r="Q12" i="4"/>
  <c r="P12" i="4"/>
  <c r="O12" i="4"/>
  <c r="Q11" i="4"/>
  <c r="P11" i="4"/>
  <c r="O11" i="4"/>
  <c r="Q10" i="4"/>
  <c r="P10" i="4"/>
  <c r="O10" i="4"/>
  <c r="Q9" i="4"/>
  <c r="P9" i="4"/>
  <c r="O9" i="4"/>
  <c r="Q8" i="4"/>
  <c r="P8" i="4"/>
  <c r="O8" i="4"/>
  <c r="Q7" i="4"/>
  <c r="P7" i="4"/>
  <c r="O7" i="4"/>
  <c r="Q6" i="4"/>
  <c r="P6" i="4"/>
  <c r="O6" i="4"/>
  <c r="Q5" i="4"/>
  <c r="P5" i="4"/>
  <c r="O5" i="4"/>
  <c r="Q4" i="4"/>
  <c r="P4" i="4"/>
  <c r="O4" i="4"/>
  <c r="Q3" i="4"/>
  <c r="P3" i="4"/>
  <c r="O3" i="4"/>
  <c r="Q2" i="4"/>
  <c r="P2" i="4"/>
  <c r="O2" i="4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Q5" i="3"/>
  <c r="P5" i="3"/>
  <c r="O5" i="3"/>
  <c r="Q4" i="3"/>
  <c r="P4" i="3"/>
  <c r="O4" i="3"/>
  <c r="Q3" i="3"/>
  <c r="P3" i="3"/>
  <c r="O3" i="3"/>
  <c r="W2" i="3"/>
  <c r="Q2" i="3"/>
  <c r="P2" i="3"/>
  <c r="O2" i="3"/>
  <c r="W26" i="5"/>
  <c r="W25" i="5"/>
  <c r="W18" i="5"/>
  <c r="W17" i="5"/>
  <c r="W16" i="5"/>
  <c r="W15" i="5"/>
  <c r="W14" i="5"/>
  <c r="W10" i="5"/>
  <c r="W9" i="5"/>
  <c r="W8" i="5"/>
  <c r="W4" i="5"/>
  <c r="W3" i="5"/>
  <c r="Q10" i="5"/>
  <c r="P10" i="5"/>
  <c r="O10" i="5"/>
  <c r="Q9" i="5"/>
  <c r="P9" i="5"/>
  <c r="O9" i="5"/>
  <c r="Q8" i="5"/>
  <c r="P8" i="5"/>
  <c r="O8" i="5"/>
  <c r="Q4" i="5"/>
  <c r="P4" i="5"/>
  <c r="O4" i="5"/>
  <c r="Q3" i="5"/>
  <c r="P3" i="5"/>
  <c r="O3" i="5"/>
  <c r="Q18" i="5"/>
  <c r="P18" i="5"/>
  <c r="O18" i="5"/>
  <c r="Q17" i="5"/>
  <c r="P17" i="5"/>
  <c r="O17" i="5"/>
  <c r="Q16" i="5"/>
  <c r="P16" i="5"/>
  <c r="O16" i="5"/>
  <c r="Q15" i="5"/>
  <c r="P15" i="5"/>
  <c r="O15" i="5"/>
  <c r="Q14" i="5"/>
  <c r="P14" i="5"/>
  <c r="O14" i="5"/>
  <c r="Q26" i="5"/>
  <c r="P26" i="5"/>
  <c r="O26" i="5"/>
  <c r="Q25" i="5"/>
  <c r="P25" i="5"/>
  <c r="O25" i="5"/>
  <c r="AH487" i="1"/>
  <c r="AB487" i="1"/>
  <c r="AA487" i="1"/>
  <c r="Z487" i="1"/>
  <c r="R487" i="1"/>
  <c r="T13" i="8" l="1"/>
  <c r="L17" i="8"/>
  <c r="U13" i="8"/>
  <c r="S17" i="8"/>
  <c r="L13" i="8"/>
  <c r="R17" i="8"/>
  <c r="S13" i="8"/>
  <c r="V17" i="8"/>
  <c r="X17" i="8" s="1"/>
  <c r="M17" i="8"/>
  <c r="K17" i="8"/>
  <c r="K13" i="8"/>
  <c r="M13" i="8"/>
  <c r="V13" i="8"/>
  <c r="X13" i="8" s="1"/>
  <c r="R13" i="8"/>
  <c r="H13" i="8"/>
  <c r="J13" i="8"/>
  <c r="U17" i="8"/>
  <c r="T17" i="8"/>
  <c r="I13" i="8"/>
  <c r="H17" i="8"/>
  <c r="J17" i="8"/>
  <c r="I17" i="8"/>
  <c r="T9" i="5"/>
  <c r="V4" i="2"/>
  <c r="X4" i="2" s="1"/>
  <c r="V8" i="2"/>
  <c r="X8" i="2" s="1"/>
  <c r="V20" i="3"/>
  <c r="X20" i="3" s="1"/>
  <c r="V3" i="2"/>
  <c r="X3" i="2" s="1"/>
  <c r="V7" i="2"/>
  <c r="X7" i="2" s="1"/>
  <c r="T9" i="2"/>
  <c r="S3" i="2"/>
  <c r="V10" i="3"/>
  <c r="X10" i="3" s="1"/>
  <c r="V2" i="2"/>
  <c r="X2" i="2" s="1"/>
  <c r="V5" i="2"/>
  <c r="X5" i="2" s="1"/>
  <c r="S6" i="2"/>
  <c r="V9" i="2"/>
  <c r="X9" i="2" s="1"/>
  <c r="T6" i="4"/>
  <c r="S9" i="4"/>
  <c r="T14" i="4"/>
  <c r="S17" i="4"/>
  <c r="S21" i="4"/>
  <c r="S5" i="2"/>
  <c r="S9" i="2"/>
  <c r="T5" i="2"/>
  <c r="S9" i="3"/>
  <c r="S4" i="2"/>
  <c r="S8" i="2"/>
  <c r="S7" i="2"/>
  <c r="S4" i="5"/>
  <c r="V10" i="4"/>
  <c r="X10" i="4" s="1"/>
  <c r="V26" i="4"/>
  <c r="X26" i="4" s="1"/>
  <c r="T4" i="2"/>
  <c r="V6" i="2"/>
  <c r="X6" i="2" s="1"/>
  <c r="T8" i="2"/>
  <c r="W11" i="2"/>
  <c r="V8" i="5"/>
  <c r="X8" i="5" s="1"/>
  <c r="S2" i="2"/>
  <c r="T6" i="2"/>
  <c r="T4" i="3"/>
  <c r="S27" i="3"/>
  <c r="T3" i="2"/>
  <c r="T7" i="2"/>
  <c r="T12" i="3"/>
  <c r="T16" i="5"/>
  <c r="T3" i="5"/>
  <c r="T4" i="5"/>
  <c r="V9" i="5"/>
  <c r="X9" i="5" s="1"/>
  <c r="S10" i="5"/>
  <c r="W7" i="5"/>
  <c r="W6" i="5" s="1"/>
  <c r="S5" i="3"/>
  <c r="S13" i="3"/>
  <c r="T18" i="3"/>
  <c r="T22" i="3"/>
  <c r="T30" i="3"/>
  <c r="T3" i="4"/>
  <c r="S6" i="4"/>
  <c r="T7" i="4"/>
  <c r="S10" i="4"/>
  <c r="T11" i="4"/>
  <c r="S14" i="4"/>
  <c r="T15" i="4"/>
  <c r="V18" i="4"/>
  <c r="X18" i="4" s="1"/>
  <c r="T19" i="4"/>
  <c r="T23" i="4"/>
  <c r="T27" i="4"/>
  <c r="T3" i="3"/>
  <c r="T7" i="3"/>
  <c r="S10" i="3"/>
  <c r="T15" i="3"/>
  <c r="S6" i="3"/>
  <c r="T11" i="3"/>
  <c r="S14" i="3"/>
  <c r="S4" i="3"/>
  <c r="T5" i="3"/>
  <c r="S8" i="3"/>
  <c r="T9" i="3"/>
  <c r="S12" i="3"/>
  <c r="T13" i="3"/>
  <c r="S16" i="3"/>
  <c r="T17" i="3"/>
  <c r="T21" i="3"/>
  <c r="T25" i="3"/>
  <c r="T29" i="3"/>
  <c r="T33" i="3"/>
  <c r="V3" i="3"/>
  <c r="X3" i="3" s="1"/>
  <c r="V7" i="3"/>
  <c r="X7" i="3" s="1"/>
  <c r="V11" i="3"/>
  <c r="X11" i="3" s="1"/>
  <c r="V15" i="3"/>
  <c r="X15" i="3" s="1"/>
  <c r="V19" i="3"/>
  <c r="X19" i="3" s="1"/>
  <c r="S20" i="3"/>
  <c r="T20" i="3"/>
  <c r="V23" i="3"/>
  <c r="X23" i="3" s="1"/>
  <c r="S24" i="3"/>
  <c r="T24" i="3"/>
  <c r="V27" i="3"/>
  <c r="X27" i="3" s="1"/>
  <c r="S28" i="3"/>
  <c r="T28" i="3"/>
  <c r="V31" i="3"/>
  <c r="X31" i="3" s="1"/>
  <c r="S32" i="3"/>
  <c r="T32" i="3"/>
  <c r="S3" i="3"/>
  <c r="V4" i="3"/>
  <c r="X4" i="3" s="1"/>
  <c r="T6" i="3"/>
  <c r="S11" i="3"/>
  <c r="V12" i="3"/>
  <c r="X12" i="3" s="1"/>
  <c r="T14" i="3"/>
  <c r="V24" i="3"/>
  <c r="X24" i="3" s="1"/>
  <c r="S31" i="3"/>
  <c r="V6" i="3"/>
  <c r="X6" i="3" s="1"/>
  <c r="T8" i="3"/>
  <c r="V14" i="3"/>
  <c r="X14" i="3" s="1"/>
  <c r="T16" i="3"/>
  <c r="S19" i="3"/>
  <c r="V28" i="3"/>
  <c r="X28" i="3" s="1"/>
  <c r="V5" i="3"/>
  <c r="X5" i="3" s="1"/>
  <c r="V9" i="3"/>
  <c r="X9" i="3" s="1"/>
  <c r="V13" i="3"/>
  <c r="X13" i="3" s="1"/>
  <c r="V17" i="3"/>
  <c r="X17" i="3" s="1"/>
  <c r="S17" i="3"/>
  <c r="S18" i="3"/>
  <c r="V18" i="3"/>
  <c r="X18" i="3" s="1"/>
  <c r="T19" i="3"/>
  <c r="V21" i="3"/>
  <c r="X21" i="3" s="1"/>
  <c r="S21" i="3"/>
  <c r="S22" i="3"/>
  <c r="V22" i="3"/>
  <c r="X22" i="3" s="1"/>
  <c r="T23" i="3"/>
  <c r="V25" i="3"/>
  <c r="X25" i="3" s="1"/>
  <c r="S25" i="3"/>
  <c r="S26" i="3"/>
  <c r="V26" i="3"/>
  <c r="X26" i="3" s="1"/>
  <c r="T27" i="3"/>
  <c r="V29" i="3"/>
  <c r="X29" i="3" s="1"/>
  <c r="S29" i="3"/>
  <c r="S30" i="3"/>
  <c r="V30" i="3"/>
  <c r="X30" i="3" s="1"/>
  <c r="T31" i="3"/>
  <c r="V33" i="3"/>
  <c r="X33" i="3" s="1"/>
  <c r="S33" i="3"/>
  <c r="S7" i="3"/>
  <c r="V8" i="3"/>
  <c r="X8" i="3" s="1"/>
  <c r="T10" i="3"/>
  <c r="S15" i="3"/>
  <c r="V16" i="3"/>
  <c r="X16" i="3" s="1"/>
  <c r="S23" i="3"/>
  <c r="T26" i="3"/>
  <c r="V32" i="3"/>
  <c r="X32" i="3" s="1"/>
  <c r="W35" i="3"/>
  <c r="S2" i="3"/>
  <c r="T5" i="4"/>
  <c r="S8" i="4"/>
  <c r="T13" i="4"/>
  <c r="S16" i="4"/>
  <c r="S4" i="4"/>
  <c r="T9" i="4"/>
  <c r="S12" i="4"/>
  <c r="T2" i="4"/>
  <c r="S5" i="4"/>
  <c r="S13" i="4"/>
  <c r="V3" i="4"/>
  <c r="X3" i="4" s="1"/>
  <c r="V11" i="4"/>
  <c r="X11" i="4" s="1"/>
  <c r="V19" i="4"/>
  <c r="X19" i="4" s="1"/>
  <c r="S19" i="4"/>
  <c r="T21" i="4"/>
  <c r="S24" i="4"/>
  <c r="V24" i="4"/>
  <c r="X24" i="4" s="1"/>
  <c r="V27" i="4"/>
  <c r="X27" i="4" s="1"/>
  <c r="S27" i="4"/>
  <c r="V2" i="4"/>
  <c r="X2" i="4" s="1"/>
  <c r="V9" i="4"/>
  <c r="X9" i="4" s="1"/>
  <c r="V17" i="4"/>
  <c r="X17" i="4" s="1"/>
  <c r="S22" i="4"/>
  <c r="T22" i="4"/>
  <c r="V25" i="4"/>
  <c r="X25" i="4" s="1"/>
  <c r="V6" i="4"/>
  <c r="X6" i="4" s="1"/>
  <c r="T8" i="4"/>
  <c r="V14" i="4"/>
  <c r="X14" i="4" s="1"/>
  <c r="T16" i="4"/>
  <c r="S25" i="4"/>
  <c r="V7" i="4"/>
  <c r="X7" i="4" s="1"/>
  <c r="V15" i="4"/>
  <c r="X15" i="4" s="1"/>
  <c r="T17" i="4"/>
  <c r="S20" i="4"/>
  <c r="V20" i="4"/>
  <c r="X20" i="4" s="1"/>
  <c r="V23" i="4"/>
  <c r="X23" i="4" s="1"/>
  <c r="S23" i="4"/>
  <c r="T25" i="4"/>
  <c r="T4" i="4"/>
  <c r="T12" i="4"/>
  <c r="T20" i="4"/>
  <c r="S3" i="4"/>
  <c r="V4" i="4"/>
  <c r="X4" i="4" s="1"/>
  <c r="S11" i="4"/>
  <c r="V12" i="4"/>
  <c r="X12" i="4" s="1"/>
  <c r="T24" i="4"/>
  <c r="V5" i="4"/>
  <c r="X5" i="4" s="1"/>
  <c r="V13" i="4"/>
  <c r="X13" i="4" s="1"/>
  <c r="S18" i="4"/>
  <c r="T18" i="4"/>
  <c r="V21" i="4"/>
  <c r="S26" i="4"/>
  <c r="T26" i="4"/>
  <c r="W29" i="4"/>
  <c r="S7" i="4"/>
  <c r="V8" i="4"/>
  <c r="X8" i="4" s="1"/>
  <c r="T10" i="4"/>
  <c r="S15" i="4"/>
  <c r="V16" i="4"/>
  <c r="X16" i="4" s="1"/>
  <c r="V22" i="4"/>
  <c r="X22" i="4" s="1"/>
  <c r="T2" i="2"/>
  <c r="S2" i="4"/>
  <c r="T2" i="3"/>
  <c r="V2" i="3"/>
  <c r="X2" i="3" s="1"/>
  <c r="AG487" i="1"/>
  <c r="AI487" i="1" s="1"/>
  <c r="AF487" i="1"/>
  <c r="T10" i="5"/>
  <c r="AC487" i="1"/>
  <c r="P7" i="5"/>
  <c r="P6" i="5" s="1"/>
  <c r="Q7" i="5"/>
  <c r="Q6" i="5" s="1"/>
  <c r="T17" i="5"/>
  <c r="AD487" i="1"/>
  <c r="T8" i="5"/>
  <c r="O7" i="5"/>
  <c r="O6" i="5" s="1"/>
  <c r="AE487" i="1"/>
  <c r="T25" i="5"/>
  <c r="S8" i="5"/>
  <c r="S9" i="5"/>
  <c r="S25" i="5"/>
  <c r="S26" i="5"/>
  <c r="T14" i="5"/>
  <c r="T18" i="5"/>
  <c r="V4" i="5"/>
  <c r="X4" i="5" s="1"/>
  <c r="T15" i="5"/>
  <c r="T26" i="5"/>
  <c r="V25" i="5"/>
  <c r="X25" i="5" s="1"/>
  <c r="V26" i="5"/>
  <c r="X26" i="5" s="1"/>
  <c r="V14" i="5"/>
  <c r="X14" i="5" s="1"/>
  <c r="S14" i="5"/>
  <c r="V10" i="5"/>
  <c r="X10" i="5" s="1"/>
  <c r="V3" i="5"/>
  <c r="X3" i="5" s="1"/>
  <c r="S3" i="5"/>
  <c r="W341" i="1"/>
  <c r="V341" i="1"/>
  <c r="U341" i="1"/>
  <c r="T341" i="1"/>
  <c r="S341" i="1"/>
  <c r="AD192" i="1"/>
  <c r="AC192" i="1"/>
  <c r="AD191" i="1"/>
  <c r="AC191" i="1"/>
  <c r="AD190" i="1"/>
  <c r="AC190" i="1"/>
  <c r="AD189" i="1"/>
  <c r="AC189" i="1"/>
  <c r="AD188" i="1"/>
  <c r="AC188" i="1"/>
  <c r="AD187" i="1"/>
  <c r="AC187" i="1"/>
  <c r="AD186" i="1"/>
  <c r="AC186" i="1"/>
  <c r="AD185" i="1"/>
  <c r="AC185" i="1"/>
  <c r="AD184" i="1"/>
  <c r="AC184" i="1"/>
  <c r="AD183" i="1"/>
  <c r="AC183" i="1"/>
  <c r="AD182" i="1"/>
  <c r="AC182" i="1"/>
  <c r="AD181" i="1"/>
  <c r="AC181" i="1"/>
  <c r="AD180" i="1"/>
  <c r="AC180" i="1"/>
  <c r="AD179" i="1"/>
  <c r="AC179" i="1"/>
  <c r="AD178" i="1"/>
  <c r="AC178" i="1"/>
  <c r="AD177" i="1"/>
  <c r="AC177" i="1"/>
  <c r="AD176" i="1"/>
  <c r="AC176" i="1"/>
  <c r="AD175" i="1"/>
  <c r="AC175" i="1"/>
  <c r="AD174" i="1"/>
  <c r="AC174" i="1"/>
  <c r="AD173" i="1"/>
  <c r="AC173" i="1"/>
  <c r="AD172" i="1"/>
  <c r="AC172" i="1"/>
  <c r="AD171" i="1"/>
  <c r="AC171" i="1"/>
  <c r="AD399" i="1"/>
  <c r="AC399" i="1"/>
  <c r="AD216" i="1"/>
  <c r="AC216" i="1"/>
  <c r="AD135" i="1"/>
  <c r="AC135" i="1"/>
  <c r="AD88" i="1"/>
  <c r="AC88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8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5" i="1"/>
  <c r="X356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123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5" i="1"/>
  <c r="X326" i="1"/>
  <c r="X322" i="1"/>
  <c r="X324" i="1"/>
  <c r="X323" i="1"/>
  <c r="X321" i="1"/>
  <c r="X284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0" i="1"/>
  <c r="X283" i="1"/>
  <c r="X282" i="1"/>
  <c r="X281" i="1"/>
  <c r="X327" i="1"/>
  <c r="X279" i="1"/>
  <c r="X278" i="1"/>
  <c r="X276" i="1"/>
  <c r="X275" i="1"/>
  <c r="X274" i="1"/>
  <c r="X273" i="1"/>
  <c r="X272" i="1"/>
  <c r="X270" i="1"/>
  <c r="X271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4" i="1"/>
  <c r="X133" i="1"/>
  <c r="X132" i="1"/>
  <c r="X131" i="1"/>
  <c r="X130" i="1"/>
  <c r="X129" i="1"/>
  <c r="X128" i="1"/>
  <c r="X127" i="1"/>
  <c r="X126" i="1"/>
  <c r="X125" i="1"/>
  <c r="X124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V11" i="2" l="1"/>
  <c r="X11" i="2" s="1"/>
  <c r="Y4" i="2" s="1"/>
  <c r="S7" i="5"/>
  <c r="T7" i="5"/>
  <c r="V35" i="3"/>
  <c r="X35" i="3" s="1"/>
  <c r="V29" i="4"/>
  <c r="X29" i="4" s="1"/>
  <c r="X21" i="4"/>
  <c r="T6" i="5"/>
  <c r="V6" i="5"/>
  <c r="X6" i="5" s="1"/>
  <c r="V7" i="5"/>
  <c r="X7" i="5" s="1"/>
  <c r="S6" i="5"/>
  <c r="V15" i="5"/>
  <c r="X15" i="5" s="1"/>
  <c r="S15" i="5"/>
  <c r="AG355" i="1"/>
  <c r="AI355" i="1" s="1"/>
  <c r="AF355" i="1"/>
  <c r="AE355" i="1"/>
  <c r="AD355" i="1"/>
  <c r="AC355" i="1"/>
  <c r="W355" i="1"/>
  <c r="V355" i="1"/>
  <c r="U355" i="1"/>
  <c r="T355" i="1"/>
  <c r="S355" i="1"/>
  <c r="Y9" i="2" l="1"/>
  <c r="Y3" i="2"/>
  <c r="Y5" i="2"/>
  <c r="Y7" i="2"/>
  <c r="Y6" i="2"/>
  <c r="Y2" i="2"/>
  <c r="Y8" i="2"/>
  <c r="Y23" i="3"/>
  <c r="Y26" i="3"/>
  <c r="Y18" i="3"/>
  <c r="Y14" i="3"/>
  <c r="Y5" i="3"/>
  <c r="Y16" i="3"/>
  <c r="Y12" i="3"/>
  <c r="Y19" i="3"/>
  <c r="Y7" i="3"/>
  <c r="Y17" i="3"/>
  <c r="Y13" i="3"/>
  <c r="Y15" i="3"/>
  <c r="Y28" i="3"/>
  <c r="Y30" i="3"/>
  <c r="Y32" i="3"/>
  <c r="Y3" i="3"/>
  <c r="Y6" i="3"/>
  <c r="Y24" i="3"/>
  <c r="Y10" i="3"/>
  <c r="Y9" i="3"/>
  <c r="Y27" i="3"/>
  <c r="Y2" i="3"/>
  <c r="Y20" i="3"/>
  <c r="Y25" i="3"/>
  <c r="Y11" i="3"/>
  <c r="Y22" i="3"/>
  <c r="Y29" i="3"/>
  <c r="Y31" i="3"/>
  <c r="Y33" i="3"/>
  <c r="Y4" i="3"/>
  <c r="Y21" i="3"/>
  <c r="Y8" i="3"/>
  <c r="Y10" i="4"/>
  <c r="Y26" i="4"/>
  <c r="Y18" i="4"/>
  <c r="Y27" i="4"/>
  <c r="Y4" i="4"/>
  <c r="Y8" i="4"/>
  <c r="Y2" i="4"/>
  <c r="Y13" i="4"/>
  <c r="Y11" i="4"/>
  <c r="Y25" i="4"/>
  <c r="Y15" i="4"/>
  <c r="Y19" i="4"/>
  <c r="Y5" i="4"/>
  <c r="Y20" i="4"/>
  <c r="Y6" i="4"/>
  <c r="Y7" i="4"/>
  <c r="Y17" i="4"/>
  <c r="Y12" i="4"/>
  <c r="Y14" i="4"/>
  <c r="Y16" i="4"/>
  <c r="Y22" i="4"/>
  <c r="Y3" i="4"/>
  <c r="Y23" i="4"/>
  <c r="Y9" i="4"/>
  <c r="Y24" i="4"/>
  <c r="Y21" i="4"/>
  <c r="S17" i="5"/>
  <c r="V17" i="5"/>
  <c r="X17" i="5" s="1"/>
  <c r="S16" i="5"/>
  <c r="V16" i="5"/>
  <c r="X16" i="5" s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0" i="1"/>
  <c r="AF441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123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6" i="1"/>
  <c r="AF275" i="1"/>
  <c r="AF274" i="1"/>
  <c r="AF273" i="1"/>
  <c r="AF272" i="1"/>
  <c r="AF270" i="1"/>
  <c r="AF271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79" i="1"/>
  <c r="AF80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B488" i="1"/>
  <c r="AB486" i="1" s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0" i="1"/>
  <c r="AE441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123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6" i="1"/>
  <c r="AE275" i="1"/>
  <c r="AE274" i="1"/>
  <c r="AE273" i="1"/>
  <c r="AE272" i="1"/>
  <c r="AE270" i="1"/>
  <c r="AE271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79" i="1"/>
  <c r="AE80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Q2" i="5" l="1"/>
  <c r="S18" i="5"/>
  <c r="V18" i="5"/>
  <c r="X18" i="5" s="1"/>
  <c r="AH488" i="1"/>
  <c r="AH486" i="1" s="1"/>
  <c r="AG484" i="1"/>
  <c r="AI484" i="1" s="1"/>
  <c r="AG483" i="1"/>
  <c r="AI483" i="1" s="1"/>
  <c r="AG482" i="1"/>
  <c r="AI482" i="1" s="1"/>
  <c r="AG481" i="1"/>
  <c r="AI481" i="1" s="1"/>
  <c r="AG480" i="1"/>
  <c r="AI480" i="1" s="1"/>
  <c r="AG479" i="1"/>
  <c r="AI479" i="1" s="1"/>
  <c r="AG478" i="1"/>
  <c r="AI478" i="1" s="1"/>
  <c r="AG477" i="1"/>
  <c r="AI477" i="1" s="1"/>
  <c r="AG476" i="1"/>
  <c r="AI476" i="1" s="1"/>
  <c r="AG475" i="1"/>
  <c r="AI475" i="1" s="1"/>
  <c r="AG474" i="1"/>
  <c r="AI474" i="1" s="1"/>
  <c r="AG473" i="1"/>
  <c r="AI473" i="1" s="1"/>
  <c r="AG472" i="1"/>
  <c r="AI472" i="1" s="1"/>
  <c r="AG471" i="1"/>
  <c r="AI471" i="1" s="1"/>
  <c r="AG470" i="1"/>
  <c r="AI470" i="1" s="1"/>
  <c r="AG469" i="1"/>
  <c r="AI469" i="1" s="1"/>
  <c r="AG468" i="1"/>
  <c r="AI468" i="1" s="1"/>
  <c r="AG467" i="1"/>
  <c r="AI467" i="1" s="1"/>
  <c r="AG466" i="1"/>
  <c r="AI466" i="1" s="1"/>
  <c r="AG465" i="1"/>
  <c r="AI465" i="1" s="1"/>
  <c r="AG464" i="1"/>
  <c r="AI464" i="1" s="1"/>
  <c r="AG463" i="1"/>
  <c r="AI463" i="1" s="1"/>
  <c r="AG462" i="1"/>
  <c r="AI462" i="1" s="1"/>
  <c r="AG461" i="1"/>
  <c r="AI461" i="1" s="1"/>
  <c r="AG460" i="1"/>
  <c r="AI460" i="1" s="1"/>
  <c r="AG459" i="1"/>
  <c r="AI459" i="1" s="1"/>
  <c r="AG458" i="1"/>
  <c r="AI458" i="1" s="1"/>
  <c r="AG457" i="1"/>
  <c r="AI457" i="1" s="1"/>
  <c r="AG456" i="1"/>
  <c r="AI456" i="1" s="1"/>
  <c r="AG455" i="1"/>
  <c r="AI455" i="1" s="1"/>
  <c r="AG454" i="1"/>
  <c r="AI454" i="1" s="1"/>
  <c r="AG453" i="1"/>
  <c r="AI453" i="1" s="1"/>
  <c r="AG452" i="1"/>
  <c r="AI452" i="1" s="1"/>
  <c r="AG451" i="1"/>
  <c r="AI451" i="1" s="1"/>
  <c r="AG450" i="1"/>
  <c r="AI450" i="1" s="1"/>
  <c r="AG449" i="1"/>
  <c r="AI449" i="1" s="1"/>
  <c r="AG448" i="1"/>
  <c r="AI448" i="1" s="1"/>
  <c r="AG447" i="1"/>
  <c r="AI447" i="1" s="1"/>
  <c r="AG446" i="1"/>
  <c r="AI446" i="1" s="1"/>
  <c r="AG445" i="1"/>
  <c r="AI445" i="1" s="1"/>
  <c r="AG444" i="1"/>
  <c r="AI444" i="1" s="1"/>
  <c r="AG443" i="1"/>
  <c r="AI443" i="1" s="1"/>
  <c r="AG442" i="1"/>
  <c r="AI442" i="1" s="1"/>
  <c r="AG441" i="1"/>
  <c r="AI441" i="1" s="1"/>
  <c r="AG440" i="1"/>
  <c r="AI440" i="1" s="1"/>
  <c r="AG439" i="1"/>
  <c r="AI439" i="1" s="1"/>
  <c r="AG438" i="1"/>
  <c r="AI438" i="1" s="1"/>
  <c r="AG437" i="1"/>
  <c r="AI437" i="1" s="1"/>
  <c r="AG436" i="1"/>
  <c r="AI436" i="1" s="1"/>
  <c r="AG435" i="1"/>
  <c r="AI435" i="1" s="1"/>
  <c r="AG434" i="1"/>
  <c r="AI434" i="1" s="1"/>
  <c r="AG433" i="1"/>
  <c r="AI433" i="1" s="1"/>
  <c r="AG432" i="1"/>
  <c r="AI432" i="1" s="1"/>
  <c r="AG431" i="1"/>
  <c r="AI431" i="1" s="1"/>
  <c r="AG430" i="1"/>
  <c r="AI430" i="1" s="1"/>
  <c r="AG429" i="1"/>
  <c r="AI429" i="1" s="1"/>
  <c r="AG428" i="1"/>
  <c r="AI428" i="1" s="1"/>
  <c r="AG427" i="1"/>
  <c r="AI427" i="1" s="1"/>
  <c r="AG426" i="1"/>
  <c r="AI426" i="1" s="1"/>
  <c r="AG425" i="1"/>
  <c r="AI425" i="1" s="1"/>
  <c r="AG424" i="1"/>
  <c r="AI424" i="1" s="1"/>
  <c r="AG423" i="1"/>
  <c r="AI423" i="1" s="1"/>
  <c r="AG422" i="1"/>
  <c r="AI422" i="1" s="1"/>
  <c r="AG421" i="1"/>
  <c r="AI421" i="1" s="1"/>
  <c r="AG420" i="1"/>
  <c r="AI420" i="1" s="1"/>
  <c r="AG419" i="1"/>
  <c r="AI419" i="1" s="1"/>
  <c r="AG418" i="1"/>
  <c r="AI418" i="1" s="1"/>
  <c r="AG417" i="1"/>
  <c r="AI417" i="1" s="1"/>
  <c r="AG416" i="1"/>
  <c r="AI416" i="1" s="1"/>
  <c r="AG415" i="1"/>
  <c r="AI415" i="1" s="1"/>
  <c r="AG414" i="1"/>
  <c r="AI414" i="1" s="1"/>
  <c r="AG413" i="1"/>
  <c r="AI413" i="1" s="1"/>
  <c r="AG412" i="1"/>
  <c r="AI412" i="1" s="1"/>
  <c r="AG411" i="1"/>
  <c r="AI411" i="1" s="1"/>
  <c r="AG410" i="1"/>
  <c r="AI410" i="1" s="1"/>
  <c r="AG409" i="1"/>
  <c r="AI409" i="1" s="1"/>
  <c r="AG408" i="1"/>
  <c r="AI408" i="1" s="1"/>
  <c r="AG407" i="1"/>
  <c r="AI407" i="1" s="1"/>
  <c r="AG406" i="1"/>
  <c r="AI406" i="1" s="1"/>
  <c r="AG405" i="1"/>
  <c r="AI405" i="1" s="1"/>
  <c r="AG404" i="1"/>
  <c r="AI404" i="1" s="1"/>
  <c r="AG403" i="1"/>
  <c r="AI403" i="1" s="1"/>
  <c r="AG402" i="1"/>
  <c r="AI402" i="1" s="1"/>
  <c r="AG401" i="1"/>
  <c r="AI401" i="1" s="1"/>
  <c r="AG400" i="1"/>
  <c r="AI400" i="1" s="1"/>
  <c r="AG399" i="1"/>
  <c r="AI399" i="1" s="1"/>
  <c r="AG398" i="1"/>
  <c r="AI398" i="1" s="1"/>
  <c r="AG396" i="1"/>
  <c r="AI396" i="1" s="1"/>
  <c r="AG395" i="1"/>
  <c r="AI395" i="1" s="1"/>
  <c r="AG394" i="1"/>
  <c r="AI394" i="1" s="1"/>
  <c r="AG393" i="1"/>
  <c r="AI393" i="1" s="1"/>
  <c r="AG392" i="1"/>
  <c r="AI392" i="1" s="1"/>
  <c r="AG391" i="1"/>
  <c r="AI391" i="1" s="1"/>
  <c r="AG390" i="1"/>
  <c r="AI390" i="1" s="1"/>
  <c r="AG389" i="1"/>
  <c r="AI389" i="1" s="1"/>
  <c r="AG388" i="1"/>
  <c r="AI388" i="1" s="1"/>
  <c r="AG387" i="1"/>
  <c r="AI387" i="1" s="1"/>
  <c r="AG386" i="1"/>
  <c r="AI386" i="1" s="1"/>
  <c r="AG385" i="1"/>
  <c r="AI385" i="1" s="1"/>
  <c r="AG384" i="1"/>
  <c r="AI384" i="1" s="1"/>
  <c r="AG383" i="1"/>
  <c r="AI383" i="1" s="1"/>
  <c r="AG382" i="1"/>
  <c r="AI382" i="1" s="1"/>
  <c r="AG381" i="1"/>
  <c r="AI381" i="1" s="1"/>
  <c r="AG380" i="1"/>
  <c r="AI380" i="1" s="1"/>
  <c r="AG379" i="1"/>
  <c r="AI379" i="1" s="1"/>
  <c r="AG378" i="1"/>
  <c r="AI378" i="1" s="1"/>
  <c r="AG377" i="1"/>
  <c r="AI377" i="1" s="1"/>
  <c r="AG376" i="1"/>
  <c r="AI376" i="1" s="1"/>
  <c r="AG375" i="1"/>
  <c r="AI375" i="1" s="1"/>
  <c r="AG374" i="1"/>
  <c r="AI374" i="1" s="1"/>
  <c r="AG373" i="1"/>
  <c r="AI373" i="1" s="1"/>
  <c r="AG372" i="1"/>
  <c r="AI372" i="1" s="1"/>
  <c r="AG371" i="1"/>
  <c r="AI371" i="1" s="1"/>
  <c r="AG370" i="1"/>
  <c r="AI370" i="1" s="1"/>
  <c r="AG369" i="1"/>
  <c r="AI369" i="1" s="1"/>
  <c r="AG368" i="1"/>
  <c r="AI368" i="1" s="1"/>
  <c r="AG367" i="1"/>
  <c r="AI367" i="1" s="1"/>
  <c r="AG366" i="1"/>
  <c r="AI366" i="1" s="1"/>
  <c r="AG365" i="1"/>
  <c r="AI365" i="1" s="1"/>
  <c r="AG364" i="1"/>
  <c r="AI364" i="1" s="1"/>
  <c r="AG363" i="1"/>
  <c r="AI363" i="1" s="1"/>
  <c r="AG362" i="1"/>
  <c r="AI362" i="1" s="1"/>
  <c r="AG361" i="1"/>
  <c r="AI361" i="1" s="1"/>
  <c r="AG360" i="1"/>
  <c r="AI360" i="1" s="1"/>
  <c r="AG359" i="1"/>
  <c r="AI359" i="1" s="1"/>
  <c r="AG358" i="1"/>
  <c r="AI358" i="1" s="1"/>
  <c r="AG357" i="1"/>
  <c r="AI357" i="1" s="1"/>
  <c r="AG356" i="1"/>
  <c r="AI356" i="1" s="1"/>
  <c r="AG354" i="1"/>
  <c r="AI354" i="1" s="1"/>
  <c r="AG353" i="1"/>
  <c r="AI353" i="1" s="1"/>
  <c r="AG352" i="1"/>
  <c r="AI352" i="1" s="1"/>
  <c r="AG351" i="1"/>
  <c r="AI351" i="1" s="1"/>
  <c r="AG350" i="1"/>
  <c r="AI350" i="1" s="1"/>
  <c r="AG349" i="1"/>
  <c r="AI349" i="1" s="1"/>
  <c r="AG348" i="1"/>
  <c r="AI348" i="1" s="1"/>
  <c r="AG347" i="1"/>
  <c r="AI347" i="1" s="1"/>
  <c r="AG346" i="1"/>
  <c r="AI346" i="1" s="1"/>
  <c r="AG345" i="1"/>
  <c r="AI345" i="1" s="1"/>
  <c r="AG344" i="1"/>
  <c r="AI344" i="1" s="1"/>
  <c r="AG343" i="1"/>
  <c r="AI343" i="1" s="1"/>
  <c r="AG342" i="1"/>
  <c r="AI342" i="1" s="1"/>
  <c r="AG123" i="1"/>
  <c r="AI123" i="1" s="1"/>
  <c r="AG341" i="1"/>
  <c r="AI341" i="1" s="1"/>
  <c r="AG340" i="1"/>
  <c r="AI340" i="1" s="1"/>
  <c r="AG339" i="1"/>
  <c r="AI339" i="1" s="1"/>
  <c r="AG338" i="1"/>
  <c r="AI338" i="1" s="1"/>
  <c r="AG337" i="1"/>
  <c r="AI337" i="1" s="1"/>
  <c r="AG336" i="1"/>
  <c r="AI336" i="1" s="1"/>
  <c r="AG335" i="1"/>
  <c r="AI335" i="1" s="1"/>
  <c r="AG334" i="1"/>
  <c r="AI334" i="1" s="1"/>
  <c r="AG333" i="1"/>
  <c r="AI333" i="1" s="1"/>
  <c r="AG332" i="1"/>
  <c r="AI332" i="1" s="1"/>
  <c r="AG331" i="1"/>
  <c r="AI331" i="1" s="1"/>
  <c r="AG330" i="1"/>
  <c r="AI330" i="1" s="1"/>
  <c r="AG329" i="1"/>
  <c r="AI329" i="1" s="1"/>
  <c r="AG328" i="1"/>
  <c r="AI328" i="1" s="1"/>
  <c r="AG327" i="1"/>
  <c r="AI327" i="1" s="1"/>
  <c r="AG326" i="1"/>
  <c r="AI326" i="1" s="1"/>
  <c r="AG325" i="1"/>
  <c r="AI325" i="1" s="1"/>
  <c r="AG324" i="1"/>
  <c r="AI324" i="1" s="1"/>
  <c r="AG323" i="1"/>
  <c r="AI323" i="1" s="1"/>
  <c r="AG322" i="1"/>
  <c r="AI322" i="1" s="1"/>
  <c r="AG321" i="1"/>
  <c r="AI321" i="1" s="1"/>
  <c r="AG320" i="1"/>
  <c r="AI320" i="1" s="1"/>
  <c r="AG319" i="1"/>
  <c r="AI319" i="1" s="1"/>
  <c r="AG318" i="1"/>
  <c r="AI318" i="1" s="1"/>
  <c r="AG317" i="1"/>
  <c r="AI317" i="1" s="1"/>
  <c r="AG316" i="1"/>
  <c r="AI316" i="1" s="1"/>
  <c r="AG315" i="1"/>
  <c r="AI315" i="1" s="1"/>
  <c r="AG314" i="1"/>
  <c r="AI314" i="1" s="1"/>
  <c r="AG313" i="1"/>
  <c r="AI313" i="1" s="1"/>
  <c r="AG312" i="1"/>
  <c r="AI312" i="1" s="1"/>
  <c r="AG311" i="1"/>
  <c r="AI311" i="1" s="1"/>
  <c r="AG310" i="1"/>
  <c r="AI310" i="1" s="1"/>
  <c r="AG309" i="1"/>
  <c r="AI309" i="1" s="1"/>
  <c r="AG308" i="1"/>
  <c r="AI308" i="1" s="1"/>
  <c r="AG307" i="1"/>
  <c r="AI307" i="1" s="1"/>
  <c r="AG306" i="1"/>
  <c r="AI306" i="1" s="1"/>
  <c r="AG305" i="1"/>
  <c r="AI305" i="1" s="1"/>
  <c r="AG304" i="1"/>
  <c r="AI304" i="1" s="1"/>
  <c r="AG303" i="1"/>
  <c r="AI303" i="1" s="1"/>
  <c r="AG302" i="1"/>
  <c r="AI302" i="1" s="1"/>
  <c r="AG301" i="1"/>
  <c r="AI301" i="1" s="1"/>
  <c r="AG300" i="1"/>
  <c r="AI300" i="1" s="1"/>
  <c r="AG299" i="1"/>
  <c r="AI299" i="1" s="1"/>
  <c r="AG298" i="1"/>
  <c r="AI298" i="1" s="1"/>
  <c r="AG297" i="1"/>
  <c r="AI297" i="1" s="1"/>
  <c r="AG296" i="1"/>
  <c r="AI296" i="1" s="1"/>
  <c r="AG295" i="1"/>
  <c r="AI295" i="1" s="1"/>
  <c r="AG294" i="1"/>
  <c r="AI294" i="1" s="1"/>
  <c r="AG293" i="1"/>
  <c r="AI293" i="1" s="1"/>
  <c r="AG292" i="1"/>
  <c r="AI292" i="1" s="1"/>
  <c r="AG291" i="1"/>
  <c r="AI291" i="1" s="1"/>
  <c r="AG290" i="1"/>
  <c r="AI290" i="1" s="1"/>
  <c r="AG289" i="1"/>
  <c r="AI289" i="1" s="1"/>
  <c r="AG288" i="1"/>
  <c r="AI288" i="1" s="1"/>
  <c r="AG287" i="1"/>
  <c r="AI287" i="1" s="1"/>
  <c r="AG286" i="1"/>
  <c r="AI286" i="1" s="1"/>
  <c r="AG285" i="1"/>
  <c r="AI285" i="1" s="1"/>
  <c r="AG284" i="1"/>
  <c r="AI284" i="1" s="1"/>
  <c r="AG282" i="1"/>
  <c r="AI282" i="1" s="1"/>
  <c r="AG281" i="1"/>
  <c r="AI281" i="1" s="1"/>
  <c r="AG280" i="1"/>
  <c r="AI280" i="1" s="1"/>
  <c r="AG279" i="1"/>
  <c r="AI279" i="1" s="1"/>
  <c r="AG278" i="1"/>
  <c r="AI278" i="1" s="1"/>
  <c r="AG276" i="1"/>
  <c r="AI276" i="1" s="1"/>
  <c r="AG275" i="1"/>
  <c r="AI275" i="1" s="1"/>
  <c r="AG274" i="1"/>
  <c r="AI274" i="1" s="1"/>
  <c r="AG273" i="1"/>
  <c r="AI273" i="1" s="1"/>
  <c r="AG272" i="1"/>
  <c r="AI272" i="1" s="1"/>
  <c r="AG270" i="1"/>
  <c r="AI270" i="1" s="1"/>
  <c r="AG271" i="1"/>
  <c r="AI271" i="1" s="1"/>
  <c r="AG269" i="1"/>
  <c r="AI269" i="1" s="1"/>
  <c r="AG268" i="1"/>
  <c r="AI268" i="1" s="1"/>
  <c r="AG267" i="1"/>
  <c r="AI267" i="1" s="1"/>
  <c r="AG266" i="1"/>
  <c r="AI266" i="1" s="1"/>
  <c r="AG265" i="1"/>
  <c r="AI265" i="1" s="1"/>
  <c r="AG264" i="1"/>
  <c r="AI264" i="1" s="1"/>
  <c r="AG263" i="1"/>
  <c r="AI263" i="1" s="1"/>
  <c r="AG262" i="1"/>
  <c r="AI262" i="1" s="1"/>
  <c r="AG261" i="1"/>
  <c r="AI261" i="1" s="1"/>
  <c r="AG260" i="1"/>
  <c r="AI260" i="1" s="1"/>
  <c r="AG259" i="1"/>
  <c r="AI259" i="1" s="1"/>
  <c r="AG258" i="1"/>
  <c r="AI258" i="1" s="1"/>
  <c r="AG257" i="1"/>
  <c r="AI257" i="1" s="1"/>
  <c r="AG256" i="1"/>
  <c r="AI256" i="1" s="1"/>
  <c r="AG255" i="1"/>
  <c r="AI255" i="1" s="1"/>
  <c r="AG254" i="1"/>
  <c r="AI254" i="1" s="1"/>
  <c r="AG253" i="1"/>
  <c r="AI253" i="1" s="1"/>
  <c r="AG252" i="1"/>
  <c r="AI252" i="1" s="1"/>
  <c r="AG251" i="1"/>
  <c r="AI251" i="1" s="1"/>
  <c r="AG250" i="1"/>
  <c r="AI250" i="1" s="1"/>
  <c r="AG249" i="1"/>
  <c r="AI249" i="1" s="1"/>
  <c r="AG248" i="1"/>
  <c r="AI248" i="1" s="1"/>
  <c r="AG247" i="1"/>
  <c r="AI247" i="1" s="1"/>
  <c r="AG246" i="1"/>
  <c r="AI246" i="1" s="1"/>
  <c r="AG245" i="1"/>
  <c r="AI245" i="1" s="1"/>
  <c r="AG244" i="1"/>
  <c r="AI244" i="1" s="1"/>
  <c r="AG243" i="1"/>
  <c r="AI243" i="1" s="1"/>
  <c r="AG242" i="1"/>
  <c r="AI242" i="1" s="1"/>
  <c r="AG241" i="1"/>
  <c r="AI241" i="1" s="1"/>
  <c r="AG240" i="1"/>
  <c r="AI240" i="1" s="1"/>
  <c r="AG239" i="1"/>
  <c r="AI239" i="1" s="1"/>
  <c r="AG238" i="1"/>
  <c r="AI238" i="1" s="1"/>
  <c r="AG237" i="1"/>
  <c r="AI237" i="1" s="1"/>
  <c r="AG236" i="1"/>
  <c r="AI236" i="1" s="1"/>
  <c r="AG235" i="1"/>
  <c r="AI235" i="1" s="1"/>
  <c r="AG234" i="1"/>
  <c r="AI234" i="1" s="1"/>
  <c r="AG233" i="1"/>
  <c r="AI233" i="1" s="1"/>
  <c r="AG232" i="1"/>
  <c r="AI232" i="1" s="1"/>
  <c r="AG231" i="1"/>
  <c r="AI231" i="1" s="1"/>
  <c r="AG230" i="1"/>
  <c r="AI230" i="1" s="1"/>
  <c r="AG229" i="1"/>
  <c r="AI229" i="1" s="1"/>
  <c r="AG228" i="1"/>
  <c r="AI228" i="1" s="1"/>
  <c r="AG227" i="1"/>
  <c r="AI227" i="1" s="1"/>
  <c r="AG226" i="1"/>
  <c r="AI226" i="1" s="1"/>
  <c r="AG225" i="1"/>
  <c r="AI225" i="1" s="1"/>
  <c r="AG224" i="1"/>
  <c r="AI224" i="1" s="1"/>
  <c r="AG223" i="1"/>
  <c r="AI223" i="1" s="1"/>
  <c r="AG222" i="1"/>
  <c r="AI222" i="1" s="1"/>
  <c r="AG221" i="1"/>
  <c r="AI221" i="1" s="1"/>
  <c r="AG220" i="1"/>
  <c r="AI220" i="1" s="1"/>
  <c r="AG219" i="1"/>
  <c r="AI219" i="1" s="1"/>
  <c r="AG218" i="1"/>
  <c r="AI218" i="1" s="1"/>
  <c r="AG217" i="1"/>
  <c r="AI217" i="1" s="1"/>
  <c r="AG216" i="1"/>
  <c r="AI216" i="1" s="1"/>
  <c r="AG215" i="1"/>
  <c r="AI215" i="1" s="1"/>
  <c r="AG214" i="1"/>
  <c r="AI214" i="1" s="1"/>
  <c r="AG213" i="1"/>
  <c r="AI213" i="1" s="1"/>
  <c r="AG212" i="1"/>
  <c r="AI212" i="1" s="1"/>
  <c r="AG211" i="1"/>
  <c r="AI211" i="1" s="1"/>
  <c r="AG210" i="1"/>
  <c r="AI210" i="1" s="1"/>
  <c r="AG209" i="1"/>
  <c r="AI209" i="1" s="1"/>
  <c r="AG208" i="1"/>
  <c r="AI208" i="1" s="1"/>
  <c r="AG207" i="1"/>
  <c r="AI207" i="1" s="1"/>
  <c r="AG206" i="1"/>
  <c r="AI206" i="1" s="1"/>
  <c r="AG205" i="1"/>
  <c r="AI205" i="1" s="1"/>
  <c r="AG204" i="1"/>
  <c r="AI204" i="1" s="1"/>
  <c r="AG203" i="1"/>
  <c r="AI203" i="1" s="1"/>
  <c r="AG202" i="1"/>
  <c r="AI202" i="1" s="1"/>
  <c r="AG201" i="1"/>
  <c r="AI201" i="1" s="1"/>
  <c r="AG200" i="1"/>
  <c r="AI200" i="1" s="1"/>
  <c r="AG199" i="1"/>
  <c r="AI199" i="1" s="1"/>
  <c r="AG198" i="1"/>
  <c r="AI198" i="1" s="1"/>
  <c r="AG197" i="1"/>
  <c r="AI197" i="1" s="1"/>
  <c r="AG196" i="1"/>
  <c r="AI196" i="1" s="1"/>
  <c r="AG195" i="1"/>
  <c r="AI195" i="1" s="1"/>
  <c r="AG194" i="1"/>
  <c r="AI194" i="1" s="1"/>
  <c r="AG193" i="1"/>
  <c r="AI193" i="1" s="1"/>
  <c r="AG192" i="1"/>
  <c r="AI192" i="1" s="1"/>
  <c r="AG191" i="1"/>
  <c r="AI191" i="1" s="1"/>
  <c r="AG190" i="1"/>
  <c r="AI190" i="1" s="1"/>
  <c r="AG189" i="1"/>
  <c r="AI189" i="1" s="1"/>
  <c r="AG188" i="1"/>
  <c r="AI188" i="1" s="1"/>
  <c r="AG187" i="1"/>
  <c r="AI187" i="1" s="1"/>
  <c r="AG186" i="1"/>
  <c r="AI186" i="1" s="1"/>
  <c r="AG185" i="1"/>
  <c r="AI185" i="1" s="1"/>
  <c r="AG184" i="1"/>
  <c r="AI184" i="1" s="1"/>
  <c r="AG183" i="1"/>
  <c r="AI183" i="1" s="1"/>
  <c r="AG182" i="1"/>
  <c r="AI182" i="1" s="1"/>
  <c r="AG181" i="1"/>
  <c r="AI181" i="1" s="1"/>
  <c r="AG180" i="1"/>
  <c r="AI180" i="1" s="1"/>
  <c r="AG179" i="1"/>
  <c r="AI179" i="1" s="1"/>
  <c r="AG178" i="1"/>
  <c r="AI178" i="1" s="1"/>
  <c r="AG177" i="1"/>
  <c r="AI177" i="1" s="1"/>
  <c r="AG176" i="1"/>
  <c r="AI176" i="1" s="1"/>
  <c r="AG175" i="1"/>
  <c r="AI175" i="1" s="1"/>
  <c r="AG174" i="1"/>
  <c r="AI174" i="1" s="1"/>
  <c r="AG173" i="1"/>
  <c r="AI173" i="1" s="1"/>
  <c r="AG172" i="1"/>
  <c r="AI172" i="1" s="1"/>
  <c r="AG171" i="1"/>
  <c r="AI171" i="1" s="1"/>
  <c r="AG170" i="1"/>
  <c r="AI170" i="1" s="1"/>
  <c r="AG169" i="1"/>
  <c r="AI169" i="1" s="1"/>
  <c r="AG168" i="1"/>
  <c r="AI168" i="1" s="1"/>
  <c r="AG167" i="1"/>
  <c r="AI167" i="1" s="1"/>
  <c r="AG166" i="1"/>
  <c r="AI166" i="1" s="1"/>
  <c r="AG165" i="1"/>
  <c r="AI165" i="1" s="1"/>
  <c r="AG164" i="1"/>
  <c r="AI164" i="1" s="1"/>
  <c r="AG163" i="1"/>
  <c r="AI163" i="1" s="1"/>
  <c r="AG162" i="1"/>
  <c r="AI162" i="1" s="1"/>
  <c r="AG161" i="1"/>
  <c r="AI161" i="1" s="1"/>
  <c r="AG160" i="1"/>
  <c r="AI160" i="1" s="1"/>
  <c r="AG159" i="1"/>
  <c r="AI159" i="1" s="1"/>
  <c r="AG158" i="1"/>
  <c r="AI158" i="1" s="1"/>
  <c r="AG157" i="1"/>
  <c r="AI157" i="1" s="1"/>
  <c r="AG156" i="1"/>
  <c r="AI156" i="1" s="1"/>
  <c r="AG155" i="1"/>
  <c r="AI155" i="1" s="1"/>
  <c r="AG154" i="1"/>
  <c r="AI154" i="1" s="1"/>
  <c r="AG153" i="1"/>
  <c r="AI153" i="1" s="1"/>
  <c r="AG152" i="1"/>
  <c r="AI152" i="1" s="1"/>
  <c r="AG151" i="1"/>
  <c r="AI151" i="1" s="1"/>
  <c r="AG150" i="1"/>
  <c r="AI150" i="1" s="1"/>
  <c r="AG149" i="1"/>
  <c r="AI149" i="1" s="1"/>
  <c r="AG148" i="1"/>
  <c r="AI148" i="1" s="1"/>
  <c r="AG147" i="1"/>
  <c r="AI147" i="1" s="1"/>
  <c r="AG146" i="1"/>
  <c r="AI146" i="1" s="1"/>
  <c r="AG145" i="1"/>
  <c r="AI145" i="1" s="1"/>
  <c r="AG144" i="1"/>
  <c r="AI144" i="1" s="1"/>
  <c r="AG143" i="1"/>
  <c r="AI143" i="1" s="1"/>
  <c r="AG142" i="1"/>
  <c r="AI142" i="1" s="1"/>
  <c r="AG141" i="1"/>
  <c r="AI141" i="1" s="1"/>
  <c r="AG140" i="1"/>
  <c r="AI140" i="1" s="1"/>
  <c r="AG139" i="1"/>
  <c r="AI139" i="1" s="1"/>
  <c r="AG138" i="1"/>
  <c r="AI138" i="1" s="1"/>
  <c r="AG137" i="1"/>
  <c r="AI137" i="1" s="1"/>
  <c r="AG136" i="1"/>
  <c r="AI136" i="1" s="1"/>
  <c r="AG135" i="1"/>
  <c r="AI135" i="1" s="1"/>
  <c r="AG134" i="1"/>
  <c r="AI134" i="1" s="1"/>
  <c r="AG133" i="1"/>
  <c r="AI133" i="1" s="1"/>
  <c r="AG132" i="1"/>
  <c r="AI132" i="1" s="1"/>
  <c r="AG131" i="1"/>
  <c r="AI131" i="1" s="1"/>
  <c r="AG130" i="1"/>
  <c r="AI130" i="1" s="1"/>
  <c r="AG129" i="1"/>
  <c r="AI129" i="1" s="1"/>
  <c r="AG128" i="1"/>
  <c r="AI128" i="1" s="1"/>
  <c r="AG127" i="1"/>
  <c r="AI127" i="1" s="1"/>
  <c r="AG126" i="1"/>
  <c r="AI126" i="1" s="1"/>
  <c r="AG125" i="1"/>
  <c r="AI125" i="1" s="1"/>
  <c r="AG124" i="1"/>
  <c r="AI124" i="1" s="1"/>
  <c r="AG122" i="1"/>
  <c r="AI122" i="1" s="1"/>
  <c r="AG121" i="1"/>
  <c r="AI121" i="1" s="1"/>
  <c r="AG120" i="1"/>
  <c r="AI120" i="1" s="1"/>
  <c r="AG119" i="1"/>
  <c r="AI119" i="1" s="1"/>
  <c r="AG118" i="1"/>
  <c r="AI118" i="1" s="1"/>
  <c r="AG117" i="1"/>
  <c r="AI117" i="1" s="1"/>
  <c r="AG116" i="1"/>
  <c r="AI116" i="1" s="1"/>
  <c r="AG115" i="1"/>
  <c r="AI115" i="1" s="1"/>
  <c r="AG114" i="1"/>
  <c r="AI114" i="1" s="1"/>
  <c r="AG113" i="1"/>
  <c r="AI113" i="1" s="1"/>
  <c r="AG112" i="1"/>
  <c r="AI112" i="1" s="1"/>
  <c r="AG111" i="1"/>
  <c r="AI111" i="1" s="1"/>
  <c r="AG110" i="1"/>
  <c r="AI110" i="1" s="1"/>
  <c r="AG109" i="1"/>
  <c r="AI109" i="1" s="1"/>
  <c r="AG108" i="1"/>
  <c r="AI108" i="1" s="1"/>
  <c r="AG107" i="1"/>
  <c r="AI107" i="1" s="1"/>
  <c r="AG106" i="1"/>
  <c r="AI106" i="1" s="1"/>
  <c r="AG105" i="1"/>
  <c r="AI105" i="1" s="1"/>
  <c r="AG104" i="1"/>
  <c r="AI104" i="1" s="1"/>
  <c r="AG103" i="1"/>
  <c r="AI103" i="1" s="1"/>
  <c r="AG102" i="1"/>
  <c r="AI102" i="1" s="1"/>
  <c r="AG101" i="1"/>
  <c r="AI101" i="1" s="1"/>
  <c r="AG100" i="1"/>
  <c r="AI100" i="1" s="1"/>
  <c r="AG99" i="1"/>
  <c r="AI99" i="1" s="1"/>
  <c r="AG98" i="1"/>
  <c r="AI98" i="1" s="1"/>
  <c r="AG97" i="1"/>
  <c r="AI97" i="1" s="1"/>
  <c r="AG96" i="1"/>
  <c r="AI96" i="1" s="1"/>
  <c r="AG95" i="1"/>
  <c r="AI95" i="1" s="1"/>
  <c r="AG94" i="1"/>
  <c r="AI94" i="1" s="1"/>
  <c r="AG93" i="1"/>
  <c r="AI93" i="1" s="1"/>
  <c r="AG92" i="1"/>
  <c r="AI92" i="1" s="1"/>
  <c r="AG91" i="1"/>
  <c r="AI91" i="1" s="1"/>
  <c r="AG90" i="1"/>
  <c r="AI90" i="1" s="1"/>
  <c r="AG89" i="1"/>
  <c r="AI89" i="1" s="1"/>
  <c r="AG88" i="1"/>
  <c r="AG87" i="1"/>
  <c r="AI87" i="1" s="1"/>
  <c r="AG86" i="1"/>
  <c r="AI86" i="1" s="1"/>
  <c r="AG85" i="1"/>
  <c r="AI85" i="1" s="1"/>
  <c r="AG84" i="1"/>
  <c r="AI84" i="1" s="1"/>
  <c r="AG83" i="1"/>
  <c r="AI83" i="1" s="1"/>
  <c r="AG82" i="1"/>
  <c r="AI82" i="1" s="1"/>
  <c r="AG81" i="1"/>
  <c r="AI81" i="1" s="1"/>
  <c r="AG80" i="1"/>
  <c r="AI80" i="1" s="1"/>
  <c r="AG79" i="1"/>
  <c r="AI79" i="1" s="1"/>
  <c r="AG78" i="1"/>
  <c r="AI78" i="1" s="1"/>
  <c r="AG77" i="1"/>
  <c r="AI77" i="1" s="1"/>
  <c r="AG76" i="1"/>
  <c r="AI76" i="1" s="1"/>
  <c r="AG75" i="1"/>
  <c r="AI75" i="1" s="1"/>
  <c r="AG74" i="1"/>
  <c r="AI74" i="1" s="1"/>
  <c r="AG73" i="1"/>
  <c r="AI73" i="1" s="1"/>
  <c r="AG72" i="1"/>
  <c r="AI72" i="1" s="1"/>
  <c r="AG71" i="1"/>
  <c r="AI71" i="1" s="1"/>
  <c r="AG70" i="1"/>
  <c r="AI70" i="1" s="1"/>
  <c r="AG69" i="1"/>
  <c r="AI69" i="1" s="1"/>
  <c r="AG68" i="1"/>
  <c r="AI68" i="1" s="1"/>
  <c r="AG67" i="1"/>
  <c r="AI67" i="1" s="1"/>
  <c r="AG66" i="1"/>
  <c r="AI66" i="1" s="1"/>
  <c r="AG65" i="1"/>
  <c r="AI65" i="1" s="1"/>
  <c r="AG64" i="1"/>
  <c r="AI64" i="1" s="1"/>
  <c r="AG63" i="1"/>
  <c r="AI63" i="1" s="1"/>
  <c r="AG62" i="1"/>
  <c r="AI62" i="1" s="1"/>
  <c r="AG61" i="1"/>
  <c r="AI61" i="1" s="1"/>
  <c r="AG60" i="1"/>
  <c r="AI60" i="1" s="1"/>
  <c r="AG59" i="1"/>
  <c r="AI59" i="1" s="1"/>
  <c r="AG58" i="1"/>
  <c r="AI58" i="1" s="1"/>
  <c r="AG57" i="1"/>
  <c r="AI57" i="1" s="1"/>
  <c r="AG56" i="1"/>
  <c r="AI56" i="1" s="1"/>
  <c r="AG55" i="1"/>
  <c r="AI55" i="1" s="1"/>
  <c r="AG54" i="1"/>
  <c r="AI54" i="1" s="1"/>
  <c r="AG53" i="1"/>
  <c r="AI53" i="1" s="1"/>
  <c r="AG52" i="1"/>
  <c r="AI52" i="1" s="1"/>
  <c r="AG51" i="1"/>
  <c r="AI51" i="1" s="1"/>
  <c r="AG50" i="1"/>
  <c r="AI50" i="1" s="1"/>
  <c r="AG49" i="1"/>
  <c r="AI49" i="1" s="1"/>
  <c r="AG48" i="1"/>
  <c r="AI48" i="1" s="1"/>
  <c r="AG47" i="1"/>
  <c r="AI47" i="1" s="1"/>
  <c r="AG46" i="1"/>
  <c r="AI46" i="1" s="1"/>
  <c r="AG45" i="1"/>
  <c r="AI45" i="1" s="1"/>
  <c r="AG44" i="1"/>
  <c r="AI44" i="1" s="1"/>
  <c r="AG43" i="1"/>
  <c r="AI43" i="1" s="1"/>
  <c r="AG42" i="1"/>
  <c r="AI42" i="1" s="1"/>
  <c r="AG41" i="1"/>
  <c r="AI41" i="1" s="1"/>
  <c r="AG40" i="1"/>
  <c r="AI40" i="1" s="1"/>
  <c r="AG39" i="1"/>
  <c r="AI39" i="1" s="1"/>
  <c r="AG38" i="1"/>
  <c r="AI38" i="1" s="1"/>
  <c r="AG37" i="1"/>
  <c r="AI37" i="1" s="1"/>
  <c r="AG36" i="1"/>
  <c r="AI36" i="1" s="1"/>
  <c r="AG35" i="1"/>
  <c r="AI35" i="1" s="1"/>
  <c r="AG34" i="1"/>
  <c r="AI34" i="1" s="1"/>
  <c r="AG33" i="1"/>
  <c r="AI33" i="1" s="1"/>
  <c r="AG32" i="1"/>
  <c r="AI32" i="1" s="1"/>
  <c r="AG31" i="1"/>
  <c r="AI31" i="1" s="1"/>
  <c r="AG30" i="1"/>
  <c r="AI30" i="1" s="1"/>
  <c r="AG29" i="1"/>
  <c r="AI29" i="1" s="1"/>
  <c r="AG28" i="1"/>
  <c r="AI28" i="1" s="1"/>
  <c r="AG27" i="1"/>
  <c r="AI27" i="1" s="1"/>
  <c r="AG26" i="1"/>
  <c r="AI26" i="1" s="1"/>
  <c r="AG25" i="1"/>
  <c r="AI25" i="1" s="1"/>
  <c r="AG24" i="1"/>
  <c r="AI24" i="1" s="1"/>
  <c r="AG23" i="1"/>
  <c r="AI23" i="1" s="1"/>
  <c r="AG22" i="1"/>
  <c r="AI22" i="1" s="1"/>
  <c r="AG21" i="1"/>
  <c r="AI21" i="1" s="1"/>
  <c r="AG20" i="1"/>
  <c r="AI20" i="1" s="1"/>
  <c r="AG19" i="1"/>
  <c r="AI19" i="1" s="1"/>
  <c r="AG18" i="1"/>
  <c r="AI18" i="1" s="1"/>
  <c r="AG17" i="1"/>
  <c r="AI17" i="1" s="1"/>
  <c r="AG16" i="1"/>
  <c r="AI16" i="1" s="1"/>
  <c r="AG15" i="1"/>
  <c r="AI15" i="1" s="1"/>
  <c r="AG14" i="1"/>
  <c r="AI14" i="1" s="1"/>
  <c r="AG13" i="1"/>
  <c r="AI13" i="1" s="1"/>
  <c r="AG12" i="1"/>
  <c r="AI12" i="1" s="1"/>
  <c r="AG11" i="1"/>
  <c r="AI11" i="1" s="1"/>
  <c r="AG10" i="1"/>
  <c r="AI10" i="1" s="1"/>
  <c r="AG9" i="1"/>
  <c r="AI9" i="1" s="1"/>
  <c r="AG8" i="1"/>
  <c r="AI8" i="1" s="1"/>
  <c r="AG7" i="1"/>
  <c r="AI7" i="1" s="1"/>
  <c r="AG6" i="1"/>
  <c r="AI6" i="1" s="1"/>
  <c r="AG5" i="1"/>
  <c r="AI5" i="1" s="1"/>
  <c r="AG4" i="1"/>
  <c r="AI4" i="1" s="1"/>
  <c r="Q5" i="5" l="1"/>
  <c r="W2" i="5"/>
  <c r="W5" i="5" s="1"/>
  <c r="AI88" i="1"/>
  <c r="R488" i="1"/>
  <c r="N15" i="8" s="1"/>
  <c r="Q488" i="1"/>
  <c r="Q486" i="1" s="1"/>
  <c r="P488" i="1"/>
  <c r="P486" i="1" s="1"/>
  <c r="O488" i="1"/>
  <c r="O486" i="1" s="1"/>
  <c r="N488" i="1"/>
  <c r="N486" i="1" s="1"/>
  <c r="C2" i="5" s="1"/>
  <c r="M488" i="1"/>
  <c r="M486" i="1" s="1"/>
  <c r="B2" i="5" s="1"/>
  <c r="V137" i="1"/>
  <c r="U137" i="1"/>
  <c r="W137" i="1"/>
  <c r="T137" i="1"/>
  <c r="S137" i="1"/>
  <c r="V138" i="1"/>
  <c r="U138" i="1"/>
  <c r="W138" i="1"/>
  <c r="T138" i="1"/>
  <c r="S138" i="1"/>
  <c r="AD137" i="1"/>
  <c r="AC137" i="1"/>
  <c r="AD341" i="1"/>
  <c r="AC341" i="1"/>
  <c r="AD138" i="1"/>
  <c r="AC138" i="1"/>
  <c r="AC170" i="1"/>
  <c r="AD170" i="1"/>
  <c r="AC123" i="1"/>
  <c r="AD123" i="1"/>
  <c r="AD335" i="1"/>
  <c r="AC335" i="1"/>
  <c r="N17" i="8" l="1"/>
  <c r="N13" i="8"/>
  <c r="R486" i="1"/>
  <c r="U486" i="1" s="1"/>
  <c r="N3" i="8"/>
  <c r="N7" i="8"/>
  <c r="N4" i="8"/>
  <c r="N16" i="8"/>
  <c r="N10" i="8"/>
  <c r="N5" i="8"/>
  <c r="N11" i="8"/>
  <c r="N2" i="8"/>
  <c r="N8" i="8"/>
  <c r="N9" i="8"/>
  <c r="N6" i="8"/>
  <c r="D2" i="5"/>
  <c r="Q11" i="5"/>
  <c r="E2" i="5"/>
  <c r="W486" i="1"/>
  <c r="F2" i="5"/>
  <c r="X486" i="1"/>
  <c r="W11" i="5"/>
  <c r="X488" i="1"/>
  <c r="AF488" i="1"/>
  <c r="Y484" i="1"/>
  <c r="Y480" i="1"/>
  <c r="Y476" i="1"/>
  <c r="Y472" i="1"/>
  <c r="Y468" i="1"/>
  <c r="Y464" i="1"/>
  <c r="Y460" i="1"/>
  <c r="Y456" i="1"/>
  <c r="Y452" i="1"/>
  <c r="Y448" i="1"/>
  <c r="Y444" i="1"/>
  <c r="Y440" i="1"/>
  <c r="Y436" i="1"/>
  <c r="Y432" i="1"/>
  <c r="Y428" i="1"/>
  <c r="Y424" i="1"/>
  <c r="Y420" i="1"/>
  <c r="Y416" i="1"/>
  <c r="Y412" i="1"/>
  <c r="Y408" i="1"/>
  <c r="Y404" i="1"/>
  <c r="Y400" i="1"/>
  <c r="Y396" i="1"/>
  <c r="Y392" i="1"/>
  <c r="Y388" i="1"/>
  <c r="Y384" i="1"/>
  <c r="Y380" i="1"/>
  <c r="Y376" i="1"/>
  <c r="Y372" i="1"/>
  <c r="Y368" i="1"/>
  <c r="Y364" i="1"/>
  <c r="Y360" i="1"/>
  <c r="Y355" i="1"/>
  <c r="Y352" i="1"/>
  <c r="Y348" i="1"/>
  <c r="Y344" i="1"/>
  <c r="Y341" i="1"/>
  <c r="Y337" i="1"/>
  <c r="Y333" i="1"/>
  <c r="Y329" i="1"/>
  <c r="Y322" i="1"/>
  <c r="Y284" i="1"/>
  <c r="Y317" i="1"/>
  <c r="Y313" i="1"/>
  <c r="Y309" i="1"/>
  <c r="Y305" i="1"/>
  <c r="Y301" i="1"/>
  <c r="Y297" i="1"/>
  <c r="Y293" i="1"/>
  <c r="Y289" i="1"/>
  <c r="Y285" i="1"/>
  <c r="Y281" i="1"/>
  <c r="Y273" i="1"/>
  <c r="Y269" i="1"/>
  <c r="Y265" i="1"/>
  <c r="Y261" i="1"/>
  <c r="Y257" i="1"/>
  <c r="Y253" i="1"/>
  <c r="Y249" i="1"/>
  <c r="Y245" i="1"/>
  <c r="Y241" i="1"/>
  <c r="Y237" i="1"/>
  <c r="Y233" i="1"/>
  <c r="Y229" i="1"/>
  <c r="Y225" i="1"/>
  <c r="Y221" i="1"/>
  <c r="Y217" i="1"/>
  <c r="Y213" i="1"/>
  <c r="Y209" i="1"/>
  <c r="Y205" i="1"/>
  <c r="Y201" i="1"/>
  <c r="Y197" i="1"/>
  <c r="Y193" i="1"/>
  <c r="Y189" i="1"/>
  <c r="Y185" i="1"/>
  <c r="Y181" i="1"/>
  <c r="Y177" i="1"/>
  <c r="Y173" i="1"/>
  <c r="Y169" i="1"/>
  <c r="Y165" i="1"/>
  <c r="Y161" i="1"/>
  <c r="Y157" i="1"/>
  <c r="Y153" i="1"/>
  <c r="Y149" i="1"/>
  <c r="Y483" i="1"/>
  <c r="Y478" i="1"/>
  <c r="Y473" i="1"/>
  <c r="Y467" i="1"/>
  <c r="Y462" i="1"/>
  <c r="Y457" i="1"/>
  <c r="Y451" i="1"/>
  <c r="Y446" i="1"/>
  <c r="Y441" i="1"/>
  <c r="Y435" i="1"/>
  <c r="Y430" i="1"/>
  <c r="Y425" i="1"/>
  <c r="Y419" i="1"/>
  <c r="Y414" i="1"/>
  <c r="Y409" i="1"/>
  <c r="Y403" i="1"/>
  <c r="Y398" i="1"/>
  <c r="Y393" i="1"/>
  <c r="Y387" i="1"/>
  <c r="Y382" i="1"/>
  <c r="Y377" i="1"/>
  <c r="Y371" i="1"/>
  <c r="Y366" i="1"/>
  <c r="Y361" i="1"/>
  <c r="Y356" i="1"/>
  <c r="Y350" i="1"/>
  <c r="Y345" i="1"/>
  <c r="Y340" i="1"/>
  <c r="Y335" i="1"/>
  <c r="Y330" i="1"/>
  <c r="Y324" i="1"/>
  <c r="Y319" i="1"/>
  <c r="Y314" i="1"/>
  <c r="Y308" i="1"/>
  <c r="Y303" i="1"/>
  <c r="Y298" i="1"/>
  <c r="Y292" i="1"/>
  <c r="Y287" i="1"/>
  <c r="Y282" i="1"/>
  <c r="Y276" i="1"/>
  <c r="Y270" i="1"/>
  <c r="Y266" i="1"/>
  <c r="Y260" i="1"/>
  <c r="Y255" i="1"/>
  <c r="Y250" i="1"/>
  <c r="Y244" i="1"/>
  <c r="Y239" i="1"/>
  <c r="Y234" i="1"/>
  <c r="Y228" i="1"/>
  <c r="Y223" i="1"/>
  <c r="Y218" i="1"/>
  <c r="Y212" i="1"/>
  <c r="Y207" i="1"/>
  <c r="Y202" i="1"/>
  <c r="Y196" i="1"/>
  <c r="Y191" i="1"/>
  <c r="Y186" i="1"/>
  <c r="Y180" i="1"/>
  <c r="Y175" i="1"/>
  <c r="Y170" i="1"/>
  <c r="Y164" i="1"/>
  <c r="Y159" i="1"/>
  <c r="Y154" i="1"/>
  <c r="Y148" i="1"/>
  <c r="Y144" i="1"/>
  <c r="Y140" i="1"/>
  <c r="Y136" i="1"/>
  <c r="Y132" i="1"/>
  <c r="Y128" i="1"/>
  <c r="Y124" i="1"/>
  <c r="Y119" i="1"/>
  <c r="Y115" i="1"/>
  <c r="Y111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Y7" i="1"/>
  <c r="Y482" i="1"/>
  <c r="Y477" i="1"/>
  <c r="Y471" i="1"/>
  <c r="Y466" i="1"/>
  <c r="Y461" i="1"/>
  <c r="Y455" i="1"/>
  <c r="Y450" i="1"/>
  <c r="Y445" i="1"/>
  <c r="Y439" i="1"/>
  <c r="Y434" i="1"/>
  <c r="Y429" i="1"/>
  <c r="Y423" i="1"/>
  <c r="Y418" i="1"/>
  <c r="Y413" i="1"/>
  <c r="Y407" i="1"/>
  <c r="Y402" i="1"/>
  <c r="Y391" i="1"/>
  <c r="Y386" i="1"/>
  <c r="Y381" i="1"/>
  <c r="Y375" i="1"/>
  <c r="Y370" i="1"/>
  <c r="Y365" i="1"/>
  <c r="Y359" i="1"/>
  <c r="Y354" i="1"/>
  <c r="Y349" i="1"/>
  <c r="Y343" i="1"/>
  <c r="Y339" i="1"/>
  <c r="Y334" i="1"/>
  <c r="Y328" i="1"/>
  <c r="Y323" i="1"/>
  <c r="Y318" i="1"/>
  <c r="Y312" i="1"/>
  <c r="Y307" i="1"/>
  <c r="Y302" i="1"/>
  <c r="Y296" i="1"/>
  <c r="Y291" i="1"/>
  <c r="Y286" i="1"/>
  <c r="Y327" i="1"/>
  <c r="Y275" i="1"/>
  <c r="Y271" i="1"/>
  <c r="Y264" i="1"/>
  <c r="Y259" i="1"/>
  <c r="Y254" i="1"/>
  <c r="Y248" i="1"/>
  <c r="Y243" i="1"/>
  <c r="Y238" i="1"/>
  <c r="Y232" i="1"/>
  <c r="Y227" i="1"/>
  <c r="Y222" i="1"/>
  <c r="Y211" i="1"/>
  <c r="Y206" i="1"/>
  <c r="Y200" i="1"/>
  <c r="Y195" i="1"/>
  <c r="Y190" i="1"/>
  <c r="Y184" i="1"/>
  <c r="Y179" i="1"/>
  <c r="Y174" i="1"/>
  <c r="Y168" i="1"/>
  <c r="Y163" i="1"/>
  <c r="Y158" i="1"/>
  <c r="Y152" i="1"/>
  <c r="Y147" i="1"/>
  <c r="Y143" i="1"/>
  <c r="Y139" i="1"/>
  <c r="Y131" i="1"/>
  <c r="Y127" i="1"/>
  <c r="Y122" i="1"/>
  <c r="Y481" i="1"/>
  <c r="Y470" i="1"/>
  <c r="Y459" i="1"/>
  <c r="Y449" i="1"/>
  <c r="Y438" i="1"/>
  <c r="Y427" i="1"/>
  <c r="Y417" i="1"/>
  <c r="Y406" i="1"/>
  <c r="Y395" i="1"/>
  <c r="Y385" i="1"/>
  <c r="Y374" i="1"/>
  <c r="Y363" i="1"/>
  <c r="Y353" i="1"/>
  <c r="Y342" i="1"/>
  <c r="Y332" i="1"/>
  <c r="Y321" i="1"/>
  <c r="Y311" i="1"/>
  <c r="Y300" i="1"/>
  <c r="Y290" i="1"/>
  <c r="Y279" i="1"/>
  <c r="Y268" i="1"/>
  <c r="Y258" i="1"/>
  <c r="Y247" i="1"/>
  <c r="Y236" i="1"/>
  <c r="Y226" i="1"/>
  <c r="Y215" i="1"/>
  <c r="Y204" i="1"/>
  <c r="Y194" i="1"/>
  <c r="Y183" i="1"/>
  <c r="Y172" i="1"/>
  <c r="Y162" i="1"/>
  <c r="Y151" i="1"/>
  <c r="Y142" i="1"/>
  <c r="Y134" i="1"/>
  <c r="Y126" i="1"/>
  <c r="Y118" i="1"/>
  <c r="Y113" i="1"/>
  <c r="Y108" i="1"/>
  <c r="Y102" i="1"/>
  <c r="Y97" i="1"/>
  <c r="Y92" i="1"/>
  <c r="Y86" i="1"/>
  <c r="Y81" i="1"/>
  <c r="Y76" i="1"/>
  <c r="Y70" i="1"/>
  <c r="Y65" i="1"/>
  <c r="Y60" i="1"/>
  <c r="Y54" i="1"/>
  <c r="Y49" i="1"/>
  <c r="Y44" i="1"/>
  <c r="Y38" i="1"/>
  <c r="Y33" i="1"/>
  <c r="Y28" i="1"/>
  <c r="Y22" i="1"/>
  <c r="Y17" i="1"/>
  <c r="Y12" i="1"/>
  <c r="Y6" i="1"/>
  <c r="Y479" i="1"/>
  <c r="Y469" i="1"/>
  <c r="Y458" i="1"/>
  <c r="Y447" i="1"/>
  <c r="Y437" i="1"/>
  <c r="Y426" i="1"/>
  <c r="Y415" i="1"/>
  <c r="Y405" i="1"/>
  <c r="Y394" i="1"/>
  <c r="Y383" i="1"/>
  <c r="Y373" i="1"/>
  <c r="Y362" i="1"/>
  <c r="Y351" i="1"/>
  <c r="Y123" i="1"/>
  <c r="Y331" i="1"/>
  <c r="Y320" i="1"/>
  <c r="Y310" i="1"/>
  <c r="Y299" i="1"/>
  <c r="Y288" i="1"/>
  <c r="Y278" i="1"/>
  <c r="Y267" i="1"/>
  <c r="Y256" i="1"/>
  <c r="Y246" i="1"/>
  <c r="Y235" i="1"/>
  <c r="Y224" i="1"/>
  <c r="Y214" i="1"/>
  <c r="Y203" i="1"/>
  <c r="Y192" i="1"/>
  <c r="Y182" i="1"/>
  <c r="Y171" i="1"/>
  <c r="Y160" i="1"/>
  <c r="Y150" i="1"/>
  <c r="Y141" i="1"/>
  <c r="Y133" i="1"/>
  <c r="Y125" i="1"/>
  <c r="Y117" i="1"/>
  <c r="Y112" i="1"/>
  <c r="Y106" i="1"/>
  <c r="Y101" i="1"/>
  <c r="Y96" i="1"/>
  <c r="Y90" i="1"/>
  <c r="Y85" i="1"/>
  <c r="Y80" i="1"/>
  <c r="Y74" i="1"/>
  <c r="Y69" i="1"/>
  <c r="Y64" i="1"/>
  <c r="Y58" i="1"/>
  <c r="Y53" i="1"/>
  <c r="Y48" i="1"/>
  <c r="Y42" i="1"/>
  <c r="Y37" i="1"/>
  <c r="Y32" i="1"/>
  <c r="Y26" i="1"/>
  <c r="Y21" i="1"/>
  <c r="Y16" i="1"/>
  <c r="Y10" i="1"/>
  <c r="Y5" i="1"/>
  <c r="Y475" i="1"/>
  <c r="Y465" i="1"/>
  <c r="Y454" i="1"/>
  <c r="Y443" i="1"/>
  <c r="Y433" i="1"/>
  <c r="Y422" i="1"/>
  <c r="Y411" i="1"/>
  <c r="Y401" i="1"/>
  <c r="Y390" i="1"/>
  <c r="Y379" i="1"/>
  <c r="Y369" i="1"/>
  <c r="Y358" i="1"/>
  <c r="Y347" i="1"/>
  <c r="Y338" i="1"/>
  <c r="Y325" i="1"/>
  <c r="Y316" i="1"/>
  <c r="Y306" i="1"/>
  <c r="Y295" i="1"/>
  <c r="Y280" i="1"/>
  <c r="Y274" i="1"/>
  <c r="Y263" i="1"/>
  <c r="Y252" i="1"/>
  <c r="Y242" i="1"/>
  <c r="Y231" i="1"/>
  <c r="Y220" i="1"/>
  <c r="Y210" i="1"/>
  <c r="Y199" i="1"/>
  <c r="Y188" i="1"/>
  <c r="Y178" i="1"/>
  <c r="Y167" i="1"/>
  <c r="Y156" i="1"/>
  <c r="Y146" i="1"/>
  <c r="Y138" i="1"/>
  <c r="Y130" i="1"/>
  <c r="Y121" i="1"/>
  <c r="Y116" i="1"/>
  <c r="Y110" i="1"/>
  <c r="Y105" i="1"/>
  <c r="Y100" i="1"/>
  <c r="Y94" i="1"/>
  <c r="Y89" i="1"/>
  <c r="Y84" i="1"/>
  <c r="Y78" i="1"/>
  <c r="Y73" i="1"/>
  <c r="Y68" i="1"/>
  <c r="Y62" i="1"/>
  <c r="Y57" i="1"/>
  <c r="Y52" i="1"/>
  <c r="Y46" i="1"/>
  <c r="Y41" i="1"/>
  <c r="Y36" i="1"/>
  <c r="Y30" i="1"/>
  <c r="Y25" i="1"/>
  <c r="Y20" i="1"/>
  <c r="Y14" i="1"/>
  <c r="Y9" i="1"/>
  <c r="Y4" i="1"/>
  <c r="Y488" i="1"/>
  <c r="Y474" i="1"/>
  <c r="Y463" i="1"/>
  <c r="Y453" i="1"/>
  <c r="Y442" i="1"/>
  <c r="Y431" i="1"/>
  <c r="Y421" i="1"/>
  <c r="Y410" i="1"/>
  <c r="Y389" i="1"/>
  <c r="Y378" i="1"/>
  <c r="Y367" i="1"/>
  <c r="Y357" i="1"/>
  <c r="Y346" i="1"/>
  <c r="Y336" i="1"/>
  <c r="Y326" i="1"/>
  <c r="Y315" i="1"/>
  <c r="Y304" i="1"/>
  <c r="Y294" i="1"/>
  <c r="Y283" i="1"/>
  <c r="Y272" i="1"/>
  <c r="Y262" i="1"/>
  <c r="Y251" i="1"/>
  <c r="Y240" i="1"/>
  <c r="Y230" i="1"/>
  <c r="Y219" i="1"/>
  <c r="Y208" i="1"/>
  <c r="Y198" i="1"/>
  <c r="Y187" i="1"/>
  <c r="Y176" i="1"/>
  <c r="Y166" i="1"/>
  <c r="Y155" i="1"/>
  <c r="Y145" i="1"/>
  <c r="Y137" i="1"/>
  <c r="Y129" i="1"/>
  <c r="Y120" i="1"/>
  <c r="Y114" i="1"/>
  <c r="Y109" i="1"/>
  <c r="Y104" i="1"/>
  <c r="Y98" i="1"/>
  <c r="Y93" i="1"/>
  <c r="Y82" i="1"/>
  <c r="Y77" i="1"/>
  <c r="Y72" i="1"/>
  <c r="Y66" i="1"/>
  <c r="Y61" i="1"/>
  <c r="Y56" i="1"/>
  <c r="Y50" i="1"/>
  <c r="Y45" i="1"/>
  <c r="Y40" i="1"/>
  <c r="Y34" i="1"/>
  <c r="Y29" i="1"/>
  <c r="Y24" i="1"/>
  <c r="Y18" i="1"/>
  <c r="Y13" i="1"/>
  <c r="Y8" i="1"/>
  <c r="B26" i="5"/>
  <c r="B25" i="5"/>
  <c r="G2" i="5" l="1"/>
  <c r="N2" i="5" s="1"/>
  <c r="Y486" i="1"/>
  <c r="V486" i="1"/>
  <c r="T486" i="1"/>
  <c r="AF486" i="1"/>
  <c r="S486" i="1"/>
  <c r="B9" i="2"/>
  <c r="B8" i="2"/>
  <c r="B7" i="2"/>
  <c r="B6" i="2"/>
  <c r="B5" i="2"/>
  <c r="B4" i="2"/>
  <c r="B3" i="2"/>
  <c r="B2" i="2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8" i="5"/>
  <c r="B17" i="5"/>
  <c r="B16" i="5"/>
  <c r="B15" i="5"/>
  <c r="B14" i="5"/>
  <c r="B10" i="5"/>
  <c r="B9" i="5"/>
  <c r="B8" i="5"/>
  <c r="B7" i="5"/>
  <c r="B4" i="5"/>
  <c r="B3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C18" i="5"/>
  <c r="C17" i="5"/>
  <c r="C16" i="5"/>
  <c r="C15" i="5"/>
  <c r="C14" i="5"/>
  <c r="W441" i="1"/>
  <c r="T441" i="1"/>
  <c r="AD441" i="1"/>
  <c r="AD80" i="1"/>
  <c r="W80" i="1"/>
  <c r="T80" i="1"/>
  <c r="U2" i="5" l="1"/>
  <c r="M15" i="5"/>
  <c r="M17" i="5"/>
  <c r="M14" i="5"/>
  <c r="M18" i="5"/>
  <c r="L16" i="5"/>
  <c r="L15" i="5"/>
  <c r="M16" i="5"/>
  <c r="L14" i="5"/>
  <c r="L18" i="5"/>
  <c r="L17" i="5"/>
  <c r="AC80" i="1"/>
  <c r="U80" i="1"/>
  <c r="U441" i="1"/>
  <c r="V441" i="1"/>
  <c r="AC441" i="1"/>
  <c r="S441" i="1"/>
  <c r="V80" i="1"/>
  <c r="S80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8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0" i="1"/>
  <c r="AD339" i="1"/>
  <c r="AD338" i="1"/>
  <c r="AD337" i="1"/>
  <c r="AD336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6" i="1"/>
  <c r="AD275" i="1"/>
  <c r="AD274" i="1"/>
  <c r="AD273" i="1"/>
  <c r="AD272" i="1"/>
  <c r="AD270" i="1"/>
  <c r="AD271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6" i="1"/>
  <c r="AD134" i="1"/>
  <c r="AD133" i="1"/>
  <c r="AD132" i="1"/>
  <c r="AD131" i="1"/>
  <c r="AD130" i="1"/>
  <c r="AD129" i="1"/>
  <c r="AD128" i="1"/>
  <c r="AD127" i="1"/>
  <c r="AD126" i="1"/>
  <c r="AD125" i="1"/>
  <c r="AD124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7" i="1"/>
  <c r="AD86" i="1"/>
  <c r="AD85" i="1"/>
  <c r="AD84" i="1"/>
  <c r="AD83" i="1"/>
  <c r="AD82" i="1"/>
  <c r="AD81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A488" i="1" l="1"/>
  <c r="Z488" i="1"/>
  <c r="Z486" i="1" l="1"/>
  <c r="AC486" i="1" s="1"/>
  <c r="AG488" i="1"/>
  <c r="AE488" i="1"/>
  <c r="AA486" i="1"/>
  <c r="O2" i="5"/>
  <c r="B5" i="5"/>
  <c r="B6" i="5"/>
  <c r="AD488" i="1"/>
  <c r="W488" i="1"/>
  <c r="AI488" i="1" l="1"/>
  <c r="Y15" i="8" s="1"/>
  <c r="AG486" i="1"/>
  <c r="AI486" i="1" s="1"/>
  <c r="AJ486" i="1" s="1"/>
  <c r="O5" i="5"/>
  <c r="R2" i="5"/>
  <c r="P2" i="5"/>
  <c r="AD486" i="1"/>
  <c r="AE486" i="1"/>
  <c r="B11" i="5"/>
  <c r="AC213" i="1"/>
  <c r="AC95" i="1"/>
  <c r="AC219" i="1"/>
  <c r="AC226" i="1"/>
  <c r="AC482" i="1"/>
  <c r="F26" i="5"/>
  <c r="E26" i="5"/>
  <c r="D26" i="5"/>
  <c r="C26" i="5"/>
  <c r="F25" i="5"/>
  <c r="E25" i="5"/>
  <c r="D25" i="5"/>
  <c r="C25" i="5"/>
  <c r="F10" i="5"/>
  <c r="E10" i="5"/>
  <c r="D10" i="5"/>
  <c r="C10" i="5"/>
  <c r="F9" i="5"/>
  <c r="E9" i="5"/>
  <c r="D9" i="5"/>
  <c r="C9" i="5"/>
  <c r="F8" i="5"/>
  <c r="E8" i="5"/>
  <c r="D8" i="5"/>
  <c r="C8" i="5"/>
  <c r="F4" i="5"/>
  <c r="E4" i="5"/>
  <c r="D4" i="5"/>
  <c r="C4" i="5"/>
  <c r="F3" i="5"/>
  <c r="E3" i="5"/>
  <c r="D3" i="5"/>
  <c r="C3" i="5"/>
  <c r="Y13" i="8" l="1"/>
  <c r="Y17" i="8"/>
  <c r="Y5" i="8"/>
  <c r="Y3" i="8"/>
  <c r="Y9" i="8"/>
  <c r="Y10" i="8"/>
  <c r="Y2" i="8"/>
  <c r="Y4" i="8"/>
  <c r="Y7" i="8"/>
  <c r="Y11" i="8"/>
  <c r="Y16" i="8"/>
  <c r="Y6" i="8"/>
  <c r="Y8" i="8"/>
  <c r="AJ119" i="1"/>
  <c r="AJ239" i="1"/>
  <c r="AJ11" i="1"/>
  <c r="AJ338" i="1"/>
  <c r="AJ356" i="1"/>
  <c r="AJ102" i="1"/>
  <c r="AJ177" i="1"/>
  <c r="AJ47" i="1"/>
  <c r="AJ387" i="1"/>
  <c r="AJ326" i="1"/>
  <c r="AJ12" i="1"/>
  <c r="AJ347" i="1"/>
  <c r="AJ217" i="1"/>
  <c r="AJ294" i="1"/>
  <c r="AJ103" i="1"/>
  <c r="AJ471" i="1"/>
  <c r="AJ234" i="1"/>
  <c r="AJ392" i="1"/>
  <c r="AJ150" i="1"/>
  <c r="AJ107" i="1"/>
  <c r="AJ398" i="1"/>
  <c r="AJ298" i="1"/>
  <c r="AJ254" i="1"/>
  <c r="AJ328" i="1"/>
  <c r="AJ142" i="1"/>
  <c r="AJ62" i="1"/>
  <c r="AJ251" i="1"/>
  <c r="AJ219" i="1"/>
  <c r="AJ123" i="1"/>
  <c r="AJ78" i="1"/>
  <c r="AJ422" i="1"/>
  <c r="AJ329" i="1"/>
  <c r="AJ456" i="1"/>
  <c r="AJ293" i="1"/>
  <c r="AJ66" i="1"/>
  <c r="AJ189" i="1"/>
  <c r="AJ193" i="1"/>
  <c r="AJ118" i="1"/>
  <c r="AJ322" i="1"/>
  <c r="AJ282" i="1"/>
  <c r="AJ310" i="1"/>
  <c r="AJ42" i="1"/>
  <c r="AJ406" i="1"/>
  <c r="AJ374" i="1"/>
  <c r="AJ428" i="1"/>
  <c r="AJ257" i="1"/>
  <c r="AJ50" i="1"/>
  <c r="AJ166" i="1"/>
  <c r="AJ41" i="1"/>
  <c r="AJ129" i="1"/>
  <c r="AJ440" i="1"/>
  <c r="AJ354" i="1"/>
  <c r="AJ467" i="1"/>
  <c r="AJ59" i="1"/>
  <c r="AJ256" i="1"/>
  <c r="AJ124" i="1"/>
  <c r="AJ175" i="1"/>
  <c r="AJ231" i="1"/>
  <c r="AJ461" i="1"/>
  <c r="AJ411" i="1"/>
  <c r="AJ94" i="1"/>
  <c r="AJ182" i="1"/>
  <c r="AJ114" i="1"/>
  <c r="AJ167" i="1"/>
  <c r="AJ435" i="1"/>
  <c r="AJ185" i="1"/>
  <c r="AJ135" i="1"/>
  <c r="AJ388" i="1"/>
  <c r="AJ136" i="1"/>
  <c r="AJ44" i="1"/>
  <c r="AJ421" i="1"/>
  <c r="AJ314" i="1"/>
  <c r="AJ250" i="1"/>
  <c r="AJ380" i="1"/>
  <c r="AJ439" i="1"/>
  <c r="AJ395" i="1"/>
  <c r="AJ303" i="1"/>
  <c r="AJ160" i="1"/>
  <c r="AJ448" i="1"/>
  <c r="AJ130" i="1"/>
  <c r="AJ365" i="1"/>
  <c r="AJ332" i="1"/>
  <c r="AJ204" i="1"/>
  <c r="AJ191" i="1"/>
  <c r="AJ360" i="1"/>
  <c r="AJ263" i="1"/>
  <c r="AJ335" i="1"/>
  <c r="AJ196" i="1"/>
  <c r="AJ484" i="1"/>
  <c r="AJ235" i="1"/>
  <c r="AJ120" i="1"/>
  <c r="AJ6" i="1"/>
  <c r="AJ57" i="1"/>
  <c r="AJ202" i="1"/>
  <c r="AJ164" i="1"/>
  <c r="AJ362" i="1"/>
  <c r="AJ22" i="1"/>
  <c r="AJ372" i="1"/>
  <c r="AJ243" i="1"/>
  <c r="AJ186" i="1"/>
  <c r="AJ99" i="1"/>
  <c r="AJ272" i="1"/>
  <c r="AJ162" i="1"/>
  <c r="AJ195" i="1"/>
  <c r="AJ423" i="1"/>
  <c r="AJ408" i="1"/>
  <c r="AJ69" i="1"/>
  <c r="AJ60" i="1"/>
  <c r="AJ420" i="1"/>
  <c r="AJ363" i="1"/>
  <c r="AJ307" i="1"/>
  <c r="AJ364" i="1"/>
  <c r="AJ134" i="1"/>
  <c r="AJ14" i="1"/>
  <c r="AJ143" i="1"/>
  <c r="AJ339" i="1"/>
  <c r="AJ353" i="1"/>
  <c r="AJ218" i="1"/>
  <c r="AJ453" i="1"/>
  <c r="AJ203" i="1"/>
  <c r="AJ248" i="1"/>
  <c r="AJ460" i="1"/>
  <c r="AJ80" i="1"/>
  <c r="AJ433" i="1"/>
  <c r="AJ369" i="1"/>
  <c r="AJ342" i="1"/>
  <c r="AJ236" i="1"/>
  <c r="AJ201" i="1"/>
  <c r="AJ8" i="1"/>
  <c r="AJ350" i="1"/>
  <c r="AJ157" i="1"/>
  <c r="AJ82" i="1"/>
  <c r="AJ327" i="1"/>
  <c r="AJ241" i="1"/>
  <c r="AJ224" i="1"/>
  <c r="AJ306" i="1"/>
  <c r="AJ46" i="1"/>
  <c r="AJ290" i="1"/>
  <c r="AJ145" i="1"/>
  <c r="AJ285" i="1"/>
  <c r="AJ315" i="1"/>
  <c r="AJ466" i="1"/>
  <c r="AJ92" i="1"/>
  <c r="AJ409" i="1"/>
  <c r="AJ302" i="1"/>
  <c r="AJ131" i="1"/>
  <c r="AJ394" i="1"/>
  <c r="AJ178" i="1"/>
  <c r="AJ474" i="1"/>
  <c r="AJ5" i="1"/>
  <c r="AJ117" i="1"/>
  <c r="AJ271" i="1"/>
  <c r="AJ174" i="1"/>
  <c r="AJ321" i="1"/>
  <c r="AJ208" i="1"/>
  <c r="AJ390" i="1"/>
  <c r="AJ207" i="1"/>
  <c r="AJ288" i="1"/>
  <c r="AJ125" i="1"/>
  <c r="AJ441" i="1"/>
  <c r="AJ337" i="1"/>
  <c r="AJ138" i="1"/>
  <c r="AJ148" i="1"/>
  <c r="AJ331" i="1"/>
  <c r="AJ414" i="1"/>
  <c r="AJ98" i="1"/>
  <c r="AJ190" i="1"/>
  <c r="AJ334" i="1"/>
  <c r="AJ438" i="1"/>
  <c r="AJ482" i="1"/>
  <c r="AJ192" i="1"/>
  <c r="AJ341" i="1"/>
  <c r="AJ24" i="1"/>
  <c r="AJ481" i="1"/>
  <c r="AJ462" i="1"/>
  <c r="AJ211" i="1"/>
  <c r="AJ403" i="1"/>
  <c r="AJ77" i="1"/>
  <c r="AJ379" i="1"/>
  <c r="AJ210" i="1"/>
  <c r="AJ300" i="1"/>
  <c r="AJ225" i="1"/>
  <c r="AJ39" i="1"/>
  <c r="AJ153" i="1"/>
  <c r="AJ159" i="1"/>
  <c r="AJ25" i="1"/>
  <c r="AJ317" i="1"/>
  <c r="AJ468" i="1"/>
  <c r="AJ255" i="1"/>
  <c r="AJ171" i="1"/>
  <c r="AJ18" i="1"/>
  <c r="AJ140" i="1"/>
  <c r="AJ90" i="1"/>
  <c r="AJ133" i="1"/>
  <c r="AJ139" i="1"/>
  <c r="AJ221" i="1"/>
  <c r="AJ359" i="1"/>
  <c r="AJ222" i="1"/>
  <c r="AJ451" i="1"/>
  <c r="AJ83" i="1"/>
  <c r="AJ475" i="1"/>
  <c r="AJ357" i="1"/>
  <c r="AJ266" i="1"/>
  <c r="AJ155" i="1"/>
  <c r="AJ181" i="1"/>
  <c r="AJ405" i="1"/>
  <c r="AJ89" i="1"/>
  <c r="AJ463" i="1"/>
  <c r="AJ346" i="1"/>
  <c r="AJ54" i="1"/>
  <c r="AJ430" i="1"/>
  <c r="AJ472" i="1"/>
  <c r="AJ377" i="1"/>
  <c r="AJ376" i="1"/>
  <c r="AJ51" i="1"/>
  <c r="AJ452" i="1"/>
  <c r="AJ151" i="1"/>
  <c r="AJ458" i="1"/>
  <c r="AJ382" i="1"/>
  <c r="AJ65" i="1"/>
  <c r="AJ429" i="1"/>
  <c r="AJ426" i="1"/>
  <c r="AJ187" i="1"/>
  <c r="AJ385" i="1"/>
  <c r="AJ73" i="1"/>
  <c r="AJ244" i="1"/>
  <c r="AJ386" i="1"/>
  <c r="AJ383" i="1"/>
  <c r="AJ355" i="1"/>
  <c r="AJ35" i="1"/>
  <c r="AJ23" i="1"/>
  <c r="AJ425" i="1"/>
  <c r="AJ75" i="1"/>
  <c r="AJ149" i="1"/>
  <c r="AJ252" i="1"/>
  <c r="AJ214" i="1"/>
  <c r="AJ26" i="1"/>
  <c r="AJ269" i="1"/>
  <c r="AJ299" i="1"/>
  <c r="AJ267" i="1"/>
  <c r="AJ370" i="1"/>
  <c r="AJ367" i="1"/>
  <c r="AJ226" i="1"/>
  <c r="AJ122" i="1"/>
  <c r="AJ488" i="1"/>
  <c r="AJ91" i="1"/>
  <c r="AJ194" i="1"/>
  <c r="AJ10" i="1"/>
  <c r="AJ132" i="1"/>
  <c r="AJ297" i="1"/>
  <c r="AJ232" i="1"/>
  <c r="AJ127" i="1"/>
  <c r="AJ389" i="1"/>
  <c r="AJ273" i="1"/>
  <c r="AJ404" i="1"/>
  <c r="AJ343" i="1"/>
  <c r="AJ325" i="1"/>
  <c r="AJ349" i="1"/>
  <c r="AJ368" i="1"/>
  <c r="AJ105" i="1"/>
  <c r="AJ86" i="1"/>
  <c r="AJ431" i="1"/>
  <c r="AJ320" i="1"/>
  <c r="AJ258" i="1"/>
  <c r="AJ242" i="1"/>
  <c r="AJ436" i="1"/>
  <c r="AJ28" i="1"/>
  <c r="AJ246" i="1"/>
  <c r="AJ304" i="1"/>
  <c r="AJ84" i="1"/>
  <c r="AJ261" i="1"/>
  <c r="AJ412" i="1"/>
  <c r="AJ280" i="1"/>
  <c r="AJ216" i="1"/>
  <c r="AJ378" i="1"/>
  <c r="AJ447" i="1"/>
  <c r="AJ487" i="1"/>
  <c r="AJ101" i="1"/>
  <c r="AJ345" i="1"/>
  <c r="AJ340" i="1"/>
  <c r="AJ265" i="1"/>
  <c r="AJ156" i="1"/>
  <c r="AJ161" i="1"/>
  <c r="AJ173" i="1"/>
  <c r="AJ199" i="1"/>
  <c r="AJ324" i="1"/>
  <c r="AJ352" i="1"/>
  <c r="AJ470" i="1"/>
  <c r="AJ275" i="1"/>
  <c r="AJ152" i="1"/>
  <c r="AJ240" i="1"/>
  <c r="AJ37" i="1"/>
  <c r="AJ336" i="1"/>
  <c r="AJ289" i="1"/>
  <c r="AJ375" i="1"/>
  <c r="AJ81" i="1"/>
  <c r="AJ170" i="1"/>
  <c r="AJ183" i="1"/>
  <c r="AJ478" i="1"/>
  <c r="AJ30" i="1"/>
  <c r="AJ344" i="1"/>
  <c r="AJ281" i="1"/>
  <c r="AJ399" i="1"/>
  <c r="AJ53" i="1"/>
  <c r="AJ31" i="1"/>
  <c r="AJ465" i="1"/>
  <c r="AJ373" i="1"/>
  <c r="AJ457" i="1"/>
  <c r="AJ209" i="1"/>
  <c r="AJ287" i="1"/>
  <c r="AJ165" i="1"/>
  <c r="AJ316" i="1"/>
  <c r="AJ415" i="1"/>
  <c r="AJ147" i="1"/>
  <c r="AJ112" i="1"/>
  <c r="AJ312" i="1"/>
  <c r="AJ276" i="1"/>
  <c r="AJ253" i="1"/>
  <c r="AJ483" i="1"/>
  <c r="AJ296" i="1"/>
  <c r="AJ330" i="1"/>
  <c r="AJ476" i="1"/>
  <c r="AJ96" i="1"/>
  <c r="AJ68" i="1"/>
  <c r="AJ371" i="1"/>
  <c r="AJ172" i="1"/>
  <c r="AJ70" i="1"/>
  <c r="AJ413" i="1"/>
  <c r="AJ455" i="1"/>
  <c r="AJ109" i="1"/>
  <c r="AJ108" i="1"/>
  <c r="AJ17" i="1"/>
  <c r="AJ424" i="1"/>
  <c r="AJ32" i="1"/>
  <c r="AJ115" i="1"/>
  <c r="AJ188" i="1"/>
  <c r="AJ295" i="1"/>
  <c r="AJ200" i="1"/>
  <c r="AJ76" i="1"/>
  <c r="AJ264" i="1"/>
  <c r="AJ313" i="1"/>
  <c r="AJ72" i="1"/>
  <c r="AJ33" i="1"/>
  <c r="AJ113" i="1"/>
  <c r="AJ284" i="1"/>
  <c r="AJ396" i="1"/>
  <c r="AJ274" i="1"/>
  <c r="AJ154" i="1"/>
  <c r="AJ270" i="1"/>
  <c r="AJ308" i="1"/>
  <c r="AJ305" i="1"/>
  <c r="AJ137" i="1"/>
  <c r="AJ206" i="1"/>
  <c r="AJ34" i="1"/>
  <c r="AJ27" i="1"/>
  <c r="AJ20" i="1"/>
  <c r="AJ144" i="1"/>
  <c r="AJ323" i="1"/>
  <c r="AJ230" i="1"/>
  <c r="AJ19" i="1"/>
  <c r="AJ444" i="1"/>
  <c r="AJ40" i="1"/>
  <c r="AJ384" i="1"/>
  <c r="AJ13" i="1"/>
  <c r="AJ67" i="1"/>
  <c r="AJ410" i="1"/>
  <c r="AJ427" i="1"/>
  <c r="AJ227" i="1"/>
  <c r="AJ480" i="1"/>
  <c r="AJ479" i="1"/>
  <c r="AJ358" i="1"/>
  <c r="AJ97" i="1"/>
  <c r="AJ446" i="1"/>
  <c r="AJ176" i="1"/>
  <c r="AJ445" i="1"/>
  <c r="AJ49" i="1"/>
  <c r="AJ146" i="1"/>
  <c r="AJ128" i="1"/>
  <c r="AJ43" i="1"/>
  <c r="AJ198" i="1"/>
  <c r="AJ432" i="1"/>
  <c r="AJ223" i="1"/>
  <c r="AJ319" i="1"/>
  <c r="AJ333" i="1"/>
  <c r="AJ450" i="1"/>
  <c r="AJ116" i="1"/>
  <c r="AJ348" i="1"/>
  <c r="AJ473" i="1"/>
  <c r="AJ401" i="1"/>
  <c r="AJ95" i="1"/>
  <c r="AJ291" i="1"/>
  <c r="AJ93" i="1"/>
  <c r="AJ87" i="1"/>
  <c r="AJ292" i="1"/>
  <c r="AJ16" i="1"/>
  <c r="AJ247" i="1"/>
  <c r="AJ286" i="1"/>
  <c r="AJ233" i="1"/>
  <c r="AJ311" i="1"/>
  <c r="AJ400" i="1"/>
  <c r="AJ52" i="1"/>
  <c r="AJ29" i="1"/>
  <c r="AJ141" i="1"/>
  <c r="AJ64" i="1"/>
  <c r="AJ111" i="1"/>
  <c r="AJ213" i="1"/>
  <c r="AJ74" i="1"/>
  <c r="AJ259" i="1"/>
  <c r="AJ36" i="1"/>
  <c r="AJ110" i="1"/>
  <c r="AJ15" i="1"/>
  <c r="AJ184" i="1"/>
  <c r="AJ100" i="1"/>
  <c r="AJ21" i="1"/>
  <c r="AJ7" i="1"/>
  <c r="AJ104" i="1"/>
  <c r="AJ63" i="1"/>
  <c r="AJ229" i="1"/>
  <c r="AJ418" i="1"/>
  <c r="AJ61" i="1"/>
  <c r="AJ391" i="1"/>
  <c r="AJ416" i="1"/>
  <c r="AJ442" i="1"/>
  <c r="AJ419" i="1"/>
  <c r="AJ4" i="1"/>
  <c r="AJ197" i="1"/>
  <c r="AJ459" i="1"/>
  <c r="AJ106" i="1"/>
  <c r="AJ237" i="1"/>
  <c r="AJ417" i="1"/>
  <c r="AJ85" i="1"/>
  <c r="AJ245" i="1"/>
  <c r="AJ228" i="1"/>
  <c r="AJ126" i="1"/>
  <c r="AJ454" i="1"/>
  <c r="AJ169" i="1"/>
  <c r="AJ88" i="1"/>
  <c r="AJ366" i="1"/>
  <c r="AJ278" i="1"/>
  <c r="AJ309" i="1"/>
  <c r="AJ443" i="1"/>
  <c r="AJ434" i="1"/>
  <c r="AJ361" i="1"/>
  <c r="AJ205" i="1"/>
  <c r="AJ249" i="1"/>
  <c r="AJ469" i="1"/>
  <c r="AJ179" i="1"/>
  <c r="AJ268" i="1"/>
  <c r="AJ477" i="1"/>
  <c r="AJ449" i="1"/>
  <c r="AJ301" i="1"/>
  <c r="AJ58" i="1"/>
  <c r="AJ260" i="1"/>
  <c r="AJ121" i="1"/>
  <c r="AJ168" i="1"/>
  <c r="AJ38" i="1"/>
  <c r="AJ71" i="1"/>
  <c r="AJ163" i="1"/>
  <c r="AJ220" i="1"/>
  <c r="AJ55" i="1"/>
  <c r="AJ351" i="1"/>
  <c r="AJ79" i="1"/>
  <c r="AJ158" i="1"/>
  <c r="AJ402" i="1"/>
  <c r="AJ238" i="1"/>
  <c r="AJ381" i="1"/>
  <c r="AJ437" i="1"/>
  <c r="AJ9" i="1"/>
  <c r="AJ262" i="1"/>
  <c r="AJ407" i="1"/>
  <c r="AJ45" i="1"/>
  <c r="AJ215" i="1"/>
  <c r="AJ464" i="1"/>
  <c r="AJ318" i="1"/>
  <c r="AJ48" i="1"/>
  <c r="AJ393" i="1"/>
  <c r="AJ212" i="1"/>
  <c r="AJ180" i="1"/>
  <c r="AJ279" i="1"/>
  <c r="AJ56" i="1"/>
  <c r="S2" i="5"/>
  <c r="P5" i="5"/>
  <c r="T2" i="5"/>
  <c r="V2" i="5"/>
  <c r="X2" i="5" s="1"/>
  <c r="O11" i="5"/>
  <c r="F7" i="5"/>
  <c r="F6" i="5" s="1"/>
  <c r="C7" i="5"/>
  <c r="C6" i="5" s="1"/>
  <c r="D5" i="5"/>
  <c r="M8" i="5"/>
  <c r="M4" i="5"/>
  <c r="E7" i="5"/>
  <c r="E6" i="5" s="1"/>
  <c r="L25" i="5"/>
  <c r="L9" i="5"/>
  <c r="M9" i="5"/>
  <c r="M10" i="5"/>
  <c r="L2" i="5"/>
  <c r="E5" i="5"/>
  <c r="M2" i="5"/>
  <c r="M3" i="5"/>
  <c r="F5" i="5"/>
  <c r="C5" i="5"/>
  <c r="D7" i="5"/>
  <c r="D6" i="5" s="1"/>
  <c r="M25" i="5"/>
  <c r="L26" i="5"/>
  <c r="M26" i="5"/>
  <c r="L4" i="5"/>
  <c r="L8" i="5"/>
  <c r="L3" i="5"/>
  <c r="L10" i="5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  <c r="F33" i="3"/>
  <c r="E33" i="3"/>
  <c r="D33" i="3"/>
  <c r="C33" i="3"/>
  <c r="F32" i="3"/>
  <c r="E32" i="3"/>
  <c r="D32" i="3"/>
  <c r="C32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3" i="3"/>
  <c r="E3" i="3"/>
  <c r="D3" i="3"/>
  <c r="C3" i="3"/>
  <c r="F2" i="3"/>
  <c r="E2" i="3"/>
  <c r="D2" i="3"/>
  <c r="C2" i="3"/>
  <c r="F7" i="4"/>
  <c r="E7" i="4"/>
  <c r="D7" i="4"/>
  <c r="C7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F23" i="4"/>
  <c r="E23" i="4"/>
  <c r="D23" i="4"/>
  <c r="C23" i="4"/>
  <c r="F22" i="4"/>
  <c r="E22" i="4"/>
  <c r="D22" i="4"/>
  <c r="C22" i="4"/>
  <c r="F21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6" i="4"/>
  <c r="E6" i="4"/>
  <c r="D6" i="4"/>
  <c r="C6" i="4"/>
  <c r="F5" i="4"/>
  <c r="E5" i="4"/>
  <c r="D5" i="4"/>
  <c r="C5" i="4"/>
  <c r="F4" i="4"/>
  <c r="E4" i="4"/>
  <c r="D4" i="4"/>
  <c r="C4" i="4"/>
  <c r="F3" i="4"/>
  <c r="E3" i="4"/>
  <c r="D3" i="4"/>
  <c r="C3" i="4"/>
  <c r="F2" i="4"/>
  <c r="E2" i="4"/>
  <c r="D2" i="4"/>
  <c r="C2" i="4"/>
  <c r="W77" i="1"/>
  <c r="W42" i="1"/>
  <c r="W130" i="1"/>
  <c r="W12" i="1"/>
  <c r="W263" i="1"/>
  <c r="W461" i="1"/>
  <c r="W103" i="1"/>
  <c r="W367" i="1"/>
  <c r="W232" i="1"/>
  <c r="W4" i="1"/>
  <c r="W85" i="1"/>
  <c r="W376" i="1"/>
  <c r="W48" i="1"/>
  <c r="W14" i="1"/>
  <c r="W229" i="1"/>
  <c r="W276" i="1"/>
  <c r="W324" i="1"/>
  <c r="W315" i="1"/>
  <c r="W311" i="1"/>
  <c r="W92" i="1"/>
  <c r="W123" i="1"/>
  <c r="W250" i="1"/>
  <c r="W112" i="1"/>
  <c r="W372" i="1"/>
  <c r="W235" i="1"/>
  <c r="W447" i="1"/>
  <c r="W234" i="1"/>
  <c r="W51" i="1"/>
  <c r="W75" i="1"/>
  <c r="W59" i="1"/>
  <c r="W451" i="1"/>
  <c r="W78" i="1"/>
  <c r="W400" i="1"/>
  <c r="W172" i="1"/>
  <c r="W129" i="1"/>
  <c r="W304" i="1"/>
  <c r="W224" i="1"/>
  <c r="W204" i="1"/>
  <c r="W82" i="1"/>
  <c r="W446" i="1"/>
  <c r="W307" i="1"/>
  <c r="W374" i="1"/>
  <c r="W435" i="1"/>
  <c r="W154" i="1"/>
  <c r="W479" i="1"/>
  <c r="W274" i="1"/>
  <c r="W419" i="1"/>
  <c r="W203" i="1"/>
  <c r="W182" i="1"/>
  <c r="W436" i="1"/>
  <c r="W350" i="1"/>
  <c r="W238" i="1"/>
  <c r="W297" i="1"/>
  <c r="W444" i="1"/>
  <c r="W29" i="1"/>
  <c r="W157" i="1"/>
  <c r="W162" i="1"/>
  <c r="W62" i="1"/>
  <c r="W122" i="1"/>
  <c r="W213" i="1"/>
  <c r="W212" i="1"/>
  <c r="W437" i="1"/>
  <c r="W70" i="1"/>
  <c r="W267" i="1"/>
  <c r="W127" i="1"/>
  <c r="W422" i="1"/>
  <c r="W111" i="1"/>
  <c r="W209" i="1"/>
  <c r="W360" i="1"/>
  <c r="W464" i="1"/>
  <c r="W236" i="1"/>
  <c r="W87" i="1"/>
  <c r="W156" i="1"/>
  <c r="W289" i="1"/>
  <c r="W421" i="1"/>
  <c r="W167" i="1"/>
  <c r="W36" i="1"/>
  <c r="W349" i="1"/>
  <c r="W227" i="1"/>
  <c r="W17" i="1"/>
  <c r="W323" i="1"/>
  <c r="W303" i="1"/>
  <c r="W151" i="1"/>
  <c r="W148" i="1"/>
  <c r="W395" i="1"/>
  <c r="W247" i="1"/>
  <c r="W356" i="1"/>
  <c r="W165" i="1"/>
  <c r="W401" i="1"/>
  <c r="W413" i="1"/>
  <c r="W287" i="1"/>
  <c r="W420" i="1"/>
  <c r="W248" i="1"/>
  <c r="W222" i="1"/>
  <c r="W365" i="1"/>
  <c r="W237" i="1"/>
  <c r="W10" i="1"/>
  <c r="W275" i="1"/>
  <c r="W477" i="1"/>
  <c r="W105" i="1"/>
  <c r="W128" i="1"/>
  <c r="W458" i="1"/>
  <c r="W314" i="1"/>
  <c r="W89" i="1"/>
  <c r="W28" i="1"/>
  <c r="W101" i="1"/>
  <c r="W453" i="1"/>
  <c r="W198" i="1"/>
  <c r="W280" i="1"/>
  <c r="W406" i="1"/>
  <c r="W84" i="1"/>
  <c r="W285" i="1"/>
  <c r="W180" i="1"/>
  <c r="W188" i="1"/>
  <c r="W410" i="1"/>
  <c r="W391" i="1"/>
  <c r="W33" i="1"/>
  <c r="W201" i="1"/>
  <c r="W120" i="1"/>
  <c r="W83" i="1"/>
  <c r="W293" i="1"/>
  <c r="W478" i="1"/>
  <c r="W252" i="1"/>
  <c r="W470" i="1"/>
  <c r="W279" i="1"/>
  <c r="W335" i="1"/>
  <c r="W206" i="1"/>
  <c r="W110" i="1"/>
  <c r="W347" i="1"/>
  <c r="W74" i="1"/>
  <c r="W197" i="1"/>
  <c r="W402" i="1"/>
  <c r="W309" i="1"/>
  <c r="W471" i="1"/>
  <c r="W294" i="1"/>
  <c r="W459" i="1"/>
  <c r="W109" i="1"/>
  <c r="W160" i="1"/>
  <c r="W431" i="1"/>
  <c r="W58" i="1"/>
  <c r="W114" i="1"/>
  <c r="W124" i="1"/>
  <c r="W221" i="1"/>
  <c r="W34" i="1"/>
  <c r="W272" i="1"/>
  <c r="W53" i="1"/>
  <c r="W348" i="1"/>
  <c r="W462" i="1"/>
  <c r="W8" i="1"/>
  <c r="W310" i="1"/>
  <c r="W71" i="1"/>
  <c r="W13" i="1"/>
  <c r="W225" i="1"/>
  <c r="W386" i="1"/>
  <c r="W45" i="1"/>
  <c r="W196" i="1"/>
  <c r="W190" i="1"/>
  <c r="W337" i="1"/>
  <c r="W336" i="1"/>
  <c r="W449" i="1"/>
  <c r="W271" i="1"/>
  <c r="W195" i="1"/>
  <c r="W113" i="1"/>
  <c r="W292" i="1"/>
  <c r="W35" i="1"/>
  <c r="W161" i="1"/>
  <c r="W362" i="1"/>
  <c r="W260" i="1"/>
  <c r="W387" i="1"/>
  <c r="W326" i="1"/>
  <c r="W357" i="1"/>
  <c r="W9" i="1"/>
  <c r="W183" i="1"/>
  <c r="W68" i="1"/>
  <c r="W159" i="1"/>
  <c r="W5" i="1"/>
  <c r="W149" i="1"/>
  <c r="W146" i="1"/>
  <c r="W392" i="1"/>
  <c r="W384" i="1"/>
  <c r="W333" i="1"/>
  <c r="W455" i="1"/>
  <c r="W411" i="1"/>
  <c r="W331" i="1"/>
  <c r="W142" i="1"/>
  <c r="W423" i="1"/>
  <c r="W426" i="1"/>
  <c r="W393" i="1"/>
  <c r="W170" i="1"/>
  <c r="W448" i="1"/>
  <c r="W460" i="1"/>
  <c r="W241" i="1"/>
  <c r="W352" i="1"/>
  <c r="W244" i="1"/>
  <c r="W108" i="1"/>
  <c r="W286" i="1"/>
  <c r="W373" i="1"/>
  <c r="W49" i="1"/>
  <c r="W340" i="1"/>
  <c r="W259" i="1"/>
  <c r="W409" i="1"/>
  <c r="W428" i="1"/>
  <c r="W210" i="1"/>
  <c r="W230" i="1"/>
  <c r="W440" i="1"/>
  <c r="W288" i="1"/>
  <c r="W23" i="1"/>
  <c r="W346" i="1"/>
  <c r="W291" i="1"/>
  <c r="W184" i="1"/>
  <c r="W302" i="1"/>
  <c r="W317" i="1"/>
  <c r="W375" i="1"/>
  <c r="W104" i="1"/>
  <c r="W245" i="1"/>
  <c r="W6" i="1"/>
  <c r="W454" i="1"/>
  <c r="W414" i="1"/>
  <c r="W152" i="1"/>
  <c r="W361" i="1"/>
  <c r="W56" i="1"/>
  <c r="W325" i="1"/>
  <c r="W465" i="1"/>
  <c r="W445" i="1"/>
  <c r="W389" i="1"/>
  <c r="W334" i="1"/>
  <c r="W427" i="1"/>
  <c r="W354" i="1"/>
  <c r="W217" i="1"/>
  <c r="W359" i="1"/>
  <c r="W452" i="1"/>
  <c r="W306" i="1"/>
  <c r="W169" i="1"/>
  <c r="W450" i="1"/>
  <c r="W97" i="1"/>
  <c r="W21" i="1"/>
  <c r="W261" i="1"/>
  <c r="W38" i="1"/>
  <c r="W239" i="1"/>
  <c r="W254" i="1"/>
  <c r="W61" i="1"/>
  <c r="W269" i="1"/>
  <c r="W353" i="1"/>
  <c r="W205" i="1"/>
  <c r="W358" i="1"/>
  <c r="W338" i="1"/>
  <c r="W126" i="1"/>
  <c r="W155" i="1"/>
  <c r="W299" i="1"/>
  <c r="W468" i="1"/>
  <c r="W301" i="1"/>
  <c r="W467" i="1"/>
  <c r="W200" i="1"/>
  <c r="W370" i="1"/>
  <c r="W282" i="1"/>
  <c r="W192" i="1"/>
  <c r="W466" i="1"/>
  <c r="W19" i="1"/>
  <c r="W164" i="1"/>
  <c r="W136" i="1"/>
  <c r="W456" i="1"/>
  <c r="W141" i="1"/>
  <c r="W351" i="1"/>
  <c r="W121" i="1"/>
  <c r="W240" i="1"/>
  <c r="W15" i="1"/>
  <c r="W255" i="1"/>
  <c r="W377" i="1"/>
  <c r="W27" i="1"/>
  <c r="W316" i="1"/>
  <c r="W90" i="1"/>
  <c r="W418" i="1"/>
  <c r="W405" i="1"/>
  <c r="W32" i="1"/>
  <c r="W257" i="1"/>
  <c r="W394" i="1"/>
  <c r="W396" i="1"/>
  <c r="W55" i="1"/>
  <c r="W181" i="1"/>
  <c r="W442" i="1"/>
  <c r="W132" i="1"/>
  <c r="W383" i="1"/>
  <c r="W379" i="1"/>
  <c r="W96" i="1"/>
  <c r="W187" i="1"/>
  <c r="W173" i="1"/>
  <c r="W407" i="1"/>
  <c r="W404" i="1"/>
  <c r="W143" i="1"/>
  <c r="W60" i="1"/>
  <c r="W147" i="1"/>
  <c r="W265" i="1"/>
  <c r="W332" i="1"/>
  <c r="W369" i="1"/>
  <c r="W69" i="1"/>
  <c r="W266" i="1"/>
  <c r="W312" i="1"/>
  <c r="W480" i="1"/>
  <c r="W54" i="1"/>
  <c r="W93" i="1"/>
  <c r="W344" i="1"/>
  <c r="W264" i="1"/>
  <c r="W273" i="1"/>
  <c r="W145" i="1"/>
  <c r="W179" i="1"/>
  <c r="W484" i="1"/>
  <c r="W202" i="1"/>
  <c r="W115" i="1"/>
  <c r="W290" i="1"/>
  <c r="W52" i="1"/>
  <c r="W64" i="1"/>
  <c r="W318" i="1"/>
  <c r="W144" i="1"/>
  <c r="W178" i="1"/>
  <c r="W18" i="1"/>
  <c r="W457" i="1"/>
  <c r="W153" i="1"/>
  <c r="W228" i="1"/>
  <c r="W102" i="1"/>
  <c r="W67" i="1"/>
  <c r="W171" i="1"/>
  <c r="W41" i="1"/>
  <c r="W278" i="1"/>
  <c r="W47" i="1"/>
  <c r="W378" i="1"/>
  <c r="W24" i="1"/>
  <c r="W296" i="1"/>
  <c r="W106" i="1"/>
  <c r="W474" i="1"/>
  <c r="W220" i="1"/>
  <c r="W116" i="1"/>
  <c r="W43" i="1"/>
  <c r="W295" i="1"/>
  <c r="W166" i="1"/>
  <c r="W107" i="1"/>
  <c r="W186" i="1"/>
  <c r="W262" i="1"/>
  <c r="W100" i="1"/>
  <c r="W481" i="1"/>
  <c r="W482" i="1"/>
  <c r="W371" i="1"/>
  <c r="W125" i="1"/>
  <c r="W20" i="1"/>
  <c r="W40" i="1"/>
  <c r="W415" i="1"/>
  <c r="W81" i="1"/>
  <c r="W91" i="1"/>
  <c r="W16" i="1"/>
  <c r="W117" i="1"/>
  <c r="W364" i="1"/>
  <c r="W320" i="1"/>
  <c r="W223" i="1"/>
  <c r="W66" i="1"/>
  <c r="W443" i="1"/>
  <c r="W194" i="1"/>
  <c r="W433" i="1"/>
  <c r="W249" i="1"/>
  <c r="W119" i="1"/>
  <c r="W246" i="1"/>
  <c r="W339" i="1"/>
  <c r="W432" i="1"/>
  <c r="W174" i="1"/>
  <c r="W268" i="1"/>
  <c r="W7" i="1"/>
  <c r="W79" i="1"/>
  <c r="W258" i="1"/>
  <c r="W298" i="1"/>
  <c r="W243" i="1"/>
  <c r="W313" i="1"/>
  <c r="W73" i="1"/>
  <c r="W199" i="1"/>
  <c r="W473" i="1"/>
  <c r="W281" i="1"/>
  <c r="W94" i="1"/>
  <c r="W39" i="1"/>
  <c r="W168" i="1"/>
  <c r="W177" i="1"/>
  <c r="W76" i="1"/>
  <c r="W328" i="1"/>
  <c r="W439" i="1"/>
  <c r="W150" i="1"/>
  <c r="W363" i="1"/>
  <c r="W483" i="1"/>
  <c r="W158" i="1"/>
  <c r="W44" i="1"/>
  <c r="W218" i="1"/>
  <c r="W219" i="1"/>
  <c r="W385" i="1"/>
  <c r="W251" i="1"/>
  <c r="W469" i="1"/>
  <c r="W231" i="1"/>
  <c r="W398" i="1"/>
  <c r="W284" i="1"/>
  <c r="W412" i="1"/>
  <c r="W424" i="1"/>
  <c r="W189" i="1"/>
  <c r="W30" i="1"/>
  <c r="W86" i="1"/>
  <c r="W256" i="1"/>
  <c r="W31" i="1"/>
  <c r="W417" i="1"/>
  <c r="W211" i="1"/>
  <c r="W50" i="1"/>
  <c r="W472" i="1"/>
  <c r="W215" i="1"/>
  <c r="W380" i="1"/>
  <c r="W382" i="1"/>
  <c r="W381" i="1"/>
  <c r="W476" i="1"/>
  <c r="W57" i="1"/>
  <c r="W408" i="1"/>
  <c r="W99" i="1"/>
  <c r="W25" i="1"/>
  <c r="W140" i="1"/>
  <c r="W327" i="1"/>
  <c r="W46" i="1"/>
  <c r="W226" i="1"/>
  <c r="W208" i="1"/>
  <c r="W321" i="1"/>
  <c r="W425" i="1"/>
  <c r="W134" i="1"/>
  <c r="W368" i="1"/>
  <c r="W72" i="1"/>
  <c r="W463" i="1"/>
  <c r="W390" i="1"/>
  <c r="W65" i="1"/>
  <c r="W319" i="1"/>
  <c r="W214" i="1"/>
  <c r="W343" i="1"/>
  <c r="W330" i="1"/>
  <c r="W283" i="1"/>
  <c r="W475" i="1"/>
  <c r="W345" i="1"/>
  <c r="W253" i="1"/>
  <c r="W118" i="1"/>
  <c r="W305" i="1"/>
  <c r="W366" i="1"/>
  <c r="W308" i="1"/>
  <c r="W98" i="1"/>
  <c r="W300" i="1"/>
  <c r="W438" i="1"/>
  <c r="W242" i="1"/>
  <c r="W176" i="1"/>
  <c r="W270" i="1"/>
  <c r="W175" i="1"/>
  <c r="W207" i="1"/>
  <c r="W322" i="1"/>
  <c r="W185" i="1"/>
  <c r="W22" i="1"/>
  <c r="W193" i="1"/>
  <c r="W233" i="1"/>
  <c r="W329" i="1"/>
  <c r="W434" i="1"/>
  <c r="W191" i="1"/>
  <c r="W430" i="1"/>
  <c r="W388" i="1"/>
  <c r="W37" i="1"/>
  <c r="W95" i="1"/>
  <c r="W11" i="1"/>
  <c r="W133" i="1"/>
  <c r="W163" i="1"/>
  <c r="W139" i="1"/>
  <c r="W416" i="1"/>
  <c r="W63" i="1"/>
  <c r="W26" i="1"/>
  <c r="W131" i="1"/>
  <c r="W429" i="1"/>
  <c r="W342" i="1"/>
  <c r="W403" i="1"/>
  <c r="Y2" i="5" l="1"/>
  <c r="Y14" i="5"/>
  <c r="Y26" i="5"/>
  <c r="Y9" i="5"/>
  <c r="Y10" i="5"/>
  <c r="Y3" i="5"/>
  <c r="Y4" i="5"/>
  <c r="Y25" i="5"/>
  <c r="Y8" i="5"/>
  <c r="Y7" i="5"/>
  <c r="Y15" i="5"/>
  <c r="Y6" i="5"/>
  <c r="Y17" i="5"/>
  <c r="Y16" i="5"/>
  <c r="Y18" i="5"/>
  <c r="S5" i="5"/>
  <c r="P11" i="5"/>
  <c r="V11" i="5" s="1"/>
  <c r="X11" i="5" s="1"/>
  <c r="Y11" i="5" s="1"/>
  <c r="T5" i="5"/>
  <c r="V5" i="5"/>
  <c r="X5" i="5" s="1"/>
  <c r="Y5" i="5" s="1"/>
  <c r="G16" i="5"/>
  <c r="G17" i="5"/>
  <c r="AC30" i="1"/>
  <c r="AC127" i="1"/>
  <c r="AC96" i="1"/>
  <c r="AC144" i="1"/>
  <c r="AC260" i="1"/>
  <c r="AC288" i="1"/>
  <c r="AC354" i="1"/>
  <c r="AC385" i="1"/>
  <c r="AC415" i="1"/>
  <c r="AC53" i="1"/>
  <c r="AC111" i="1"/>
  <c r="AC108" i="1"/>
  <c r="AC285" i="1"/>
  <c r="AC356" i="1"/>
  <c r="AC363" i="1"/>
  <c r="AC118" i="1"/>
  <c r="AC278" i="1"/>
  <c r="AC379" i="1"/>
  <c r="AC20" i="1"/>
  <c r="AC51" i="1"/>
  <c r="AC77" i="1"/>
  <c r="AC67" i="1"/>
  <c r="AC126" i="1"/>
  <c r="AC113" i="1"/>
  <c r="AC166" i="1"/>
  <c r="AC212" i="1"/>
  <c r="AC259" i="1"/>
  <c r="AC268" i="1"/>
  <c r="AC300" i="1"/>
  <c r="AC312" i="1"/>
  <c r="AC161" i="1"/>
  <c r="AC357" i="1"/>
  <c r="AC386" i="1"/>
  <c r="AC139" i="1"/>
  <c r="AC434" i="1"/>
  <c r="AC467" i="1"/>
  <c r="AC483" i="1"/>
  <c r="AC24" i="1"/>
  <c r="AC131" i="1"/>
  <c r="AC112" i="1"/>
  <c r="AC195" i="1"/>
  <c r="AC238" i="1"/>
  <c r="AC270" i="1"/>
  <c r="AC324" i="1"/>
  <c r="AC347" i="1"/>
  <c r="AC376" i="1"/>
  <c r="AC402" i="1"/>
  <c r="AC414" i="1"/>
  <c r="AC438" i="1"/>
  <c r="AC54" i="1"/>
  <c r="AC120" i="1"/>
  <c r="AC218" i="1"/>
  <c r="AC295" i="1"/>
  <c r="AC424" i="1"/>
  <c r="AC481" i="1"/>
  <c r="AC11" i="1"/>
  <c r="AC38" i="1"/>
  <c r="AC63" i="1"/>
  <c r="AC121" i="1"/>
  <c r="AC143" i="1"/>
  <c r="AC155" i="1"/>
  <c r="AC209" i="1"/>
  <c r="AC243" i="1"/>
  <c r="AC273" i="1"/>
  <c r="AC298" i="1"/>
  <c r="AC475" i="1"/>
  <c r="AC344" i="1"/>
  <c r="AC365" i="1"/>
  <c r="AC372" i="1"/>
  <c r="AC383" i="1"/>
  <c r="AC398" i="1"/>
  <c r="AC432" i="1"/>
  <c r="AC477" i="1"/>
  <c r="AC13" i="1"/>
  <c r="AC65" i="1"/>
  <c r="AC103" i="1"/>
  <c r="AC140" i="1"/>
  <c r="AC158" i="1"/>
  <c r="AC240" i="1"/>
  <c r="AC249" i="1"/>
  <c r="AC311" i="1"/>
  <c r="AC334" i="1"/>
  <c r="AC366" i="1"/>
  <c r="AC378" i="1"/>
  <c r="AC445" i="1"/>
  <c r="AC466" i="1"/>
  <c r="AC23" i="1"/>
  <c r="AC100" i="1"/>
  <c r="AC205" i="1"/>
  <c r="AC323" i="1"/>
  <c r="AC362" i="1"/>
  <c r="AC442" i="1"/>
  <c r="AC6" i="1"/>
  <c r="AC34" i="1"/>
  <c r="AC72" i="1"/>
  <c r="AC31" i="1"/>
  <c r="AC90" i="1"/>
  <c r="AC114" i="1"/>
  <c r="AC136" i="1"/>
  <c r="AC142" i="1"/>
  <c r="AC160" i="1"/>
  <c r="AC211" i="1"/>
  <c r="AC248" i="1"/>
  <c r="AC257" i="1"/>
  <c r="AC272" i="1"/>
  <c r="AC293" i="1"/>
  <c r="AC284" i="1"/>
  <c r="AC336" i="1"/>
  <c r="AC345" i="1"/>
  <c r="AC353" i="1"/>
  <c r="AC394" i="1"/>
  <c r="AC370" i="1"/>
  <c r="AC389" i="1"/>
  <c r="AC404" i="1"/>
  <c r="AC407" i="1"/>
  <c r="AC428" i="1"/>
  <c r="AC439" i="1"/>
  <c r="AC454" i="1"/>
  <c r="AC461" i="1"/>
  <c r="AC7" i="1"/>
  <c r="AC47" i="1"/>
  <c r="AC36" i="1"/>
  <c r="AC133" i="1"/>
  <c r="AC110" i="1"/>
  <c r="AC164" i="1"/>
  <c r="AC197" i="1"/>
  <c r="AC247" i="1"/>
  <c r="AC251" i="1"/>
  <c r="AC313" i="1"/>
  <c r="AC329" i="1"/>
  <c r="AC346" i="1"/>
  <c r="AC359" i="1"/>
  <c r="AC369" i="1"/>
  <c r="AC382" i="1"/>
  <c r="AC425" i="1"/>
  <c r="AC444" i="1"/>
  <c r="AC474" i="1"/>
  <c r="AC21" i="1"/>
  <c r="AC128" i="1"/>
  <c r="AC106" i="1"/>
  <c r="AC233" i="1"/>
  <c r="AC304" i="1"/>
  <c r="AC326" i="1"/>
  <c r="AC380" i="1"/>
  <c r="AC374" i="1"/>
  <c r="AC470" i="1"/>
  <c r="AC76" i="1"/>
  <c r="AC125" i="1"/>
  <c r="AC141" i="1"/>
  <c r="AC223" i="1"/>
  <c r="AC291" i="1"/>
  <c r="AC342" i="1"/>
  <c r="AC403" i="1"/>
  <c r="AC375" i="1"/>
  <c r="AC433" i="1"/>
  <c r="AC457" i="1"/>
  <c r="AC50" i="1"/>
  <c r="AC134" i="1"/>
  <c r="AC194" i="1"/>
  <c r="AC258" i="1"/>
  <c r="AC328" i="1"/>
  <c r="AC401" i="1"/>
  <c r="AC476" i="1"/>
  <c r="AC152" i="1"/>
  <c r="AC368" i="1"/>
  <c r="AC15" i="1"/>
  <c r="AC59" i="1"/>
  <c r="AC64" i="1"/>
  <c r="AC44" i="1"/>
  <c r="AC33" i="1"/>
  <c r="AC101" i="1"/>
  <c r="AC102" i="1"/>
  <c r="AC154" i="1"/>
  <c r="AC145" i="1"/>
  <c r="AC168" i="1"/>
  <c r="AC230" i="1"/>
  <c r="AC246" i="1"/>
  <c r="AC256" i="1"/>
  <c r="AC262" i="1"/>
  <c r="AC292" i="1"/>
  <c r="AC307" i="1"/>
  <c r="AC317" i="1"/>
  <c r="AC343" i="1"/>
  <c r="AC330" i="1"/>
  <c r="AC413" i="1"/>
  <c r="AC163" i="1"/>
  <c r="AC387" i="1"/>
  <c r="AC408" i="1"/>
  <c r="AC405" i="1"/>
  <c r="AC416" i="1"/>
  <c r="AC431" i="1"/>
  <c r="AC448" i="1"/>
  <c r="AC478" i="1"/>
  <c r="AC283" i="1"/>
  <c r="AC41" i="1"/>
  <c r="AC66" i="1"/>
  <c r="AC117" i="1"/>
  <c r="AC109" i="1"/>
  <c r="AC115" i="1"/>
  <c r="AC169" i="1"/>
  <c r="AC446" i="1"/>
  <c r="AC241" i="1"/>
  <c r="AC253" i="1"/>
  <c r="AC281" i="1"/>
  <c r="AC321" i="1"/>
  <c r="AC349" i="1"/>
  <c r="AC340" i="1"/>
  <c r="AC193" i="1"/>
  <c r="AC392" i="1"/>
  <c r="AC430" i="1"/>
  <c r="AC463" i="1"/>
  <c r="AC22" i="1"/>
  <c r="AC71" i="1"/>
  <c r="AC122" i="1"/>
  <c r="AC196" i="1"/>
  <c r="AC254" i="1"/>
  <c r="AC310" i="1"/>
  <c r="AC381" i="1"/>
  <c r="AC391" i="1"/>
  <c r="AC443" i="1"/>
  <c r="U30" i="1"/>
  <c r="S96" i="1"/>
  <c r="S121" i="1"/>
  <c r="T246" i="1"/>
  <c r="T387" i="1"/>
  <c r="U408" i="1"/>
  <c r="T416" i="1"/>
  <c r="U283" i="1"/>
  <c r="S66" i="1"/>
  <c r="S328" i="1"/>
  <c r="S401" i="1"/>
  <c r="V414" i="1"/>
  <c r="U476" i="1"/>
  <c r="U120" i="1"/>
  <c r="S218" i="1"/>
  <c r="T481" i="1"/>
  <c r="S31" i="1"/>
  <c r="U90" i="1"/>
  <c r="V243" i="1"/>
  <c r="T298" i="1"/>
  <c r="S288" i="1"/>
  <c r="S415" i="1"/>
  <c r="S65" i="1"/>
  <c r="S140" i="1"/>
  <c r="S253" i="1"/>
  <c r="U321" i="1"/>
  <c r="S193" i="1"/>
  <c r="U430" i="1"/>
  <c r="U22" i="1"/>
  <c r="S196" i="1"/>
  <c r="S381" i="1"/>
  <c r="V443" i="1"/>
  <c r="T20" i="1"/>
  <c r="U76" i="1"/>
  <c r="U67" i="1"/>
  <c r="V125" i="1"/>
  <c r="U126" i="1"/>
  <c r="V141" i="1"/>
  <c r="U166" i="1"/>
  <c r="U226" i="1"/>
  <c r="S211" i="1"/>
  <c r="S248" i="1"/>
  <c r="T272" i="1"/>
  <c r="U284" i="1"/>
  <c r="U345" i="1"/>
  <c r="T353" i="1"/>
  <c r="S394" i="1"/>
  <c r="S370" i="1"/>
  <c r="S404" i="1"/>
  <c r="U407" i="1"/>
  <c r="V428" i="1"/>
  <c r="V439" i="1"/>
  <c r="V7" i="1"/>
  <c r="V133" i="1"/>
  <c r="S240" i="1"/>
  <c r="T249" i="1"/>
  <c r="U285" i="1"/>
  <c r="V334" i="1"/>
  <c r="U366" i="1"/>
  <c r="T378" i="1"/>
  <c r="V363" i="1"/>
  <c r="S466" i="1"/>
  <c r="V100" i="1"/>
  <c r="V205" i="1"/>
  <c r="T278" i="1"/>
  <c r="S442" i="1"/>
  <c r="U44" i="1"/>
  <c r="V168" i="1"/>
  <c r="V223" i="1"/>
  <c r="S300" i="1"/>
  <c r="V342" i="1"/>
  <c r="T403" i="1"/>
  <c r="V139" i="1"/>
  <c r="U433" i="1"/>
  <c r="U434" i="1"/>
  <c r="V457" i="1"/>
  <c r="U483" i="1"/>
  <c r="U50" i="1"/>
  <c r="V131" i="1"/>
  <c r="U134" i="1"/>
  <c r="U251" i="1"/>
  <c r="T313" i="1"/>
  <c r="S329" i="1"/>
  <c r="V369" i="1"/>
  <c r="U382" i="1"/>
  <c r="S425" i="1"/>
  <c r="T474" i="1"/>
  <c r="U233" i="1"/>
  <c r="S380" i="1"/>
  <c r="S144" i="1"/>
  <c r="V230" i="1"/>
  <c r="U256" i="1"/>
  <c r="T262" i="1"/>
  <c r="U307" i="1"/>
  <c r="U343" i="1"/>
  <c r="S330" i="1"/>
  <c r="T478" i="1"/>
  <c r="U41" i="1"/>
  <c r="S117" i="1"/>
  <c r="T109" i="1"/>
  <c r="U115" i="1"/>
  <c r="U258" i="1"/>
  <c r="S347" i="1"/>
  <c r="U438" i="1"/>
  <c r="S54" i="1"/>
  <c r="S295" i="1"/>
  <c r="U424" i="1"/>
  <c r="U72" i="1"/>
  <c r="S136" i="1"/>
  <c r="T142" i="1"/>
  <c r="S273" i="1"/>
  <c r="T344" i="1"/>
  <c r="S354" i="1"/>
  <c r="S385" i="1"/>
  <c r="S398" i="1"/>
  <c r="T432" i="1"/>
  <c r="S158" i="1"/>
  <c r="T281" i="1"/>
  <c r="S463" i="1"/>
  <c r="U118" i="1"/>
  <c r="S368" i="1"/>
  <c r="T163" i="1"/>
  <c r="G4" i="5"/>
  <c r="S475" i="1"/>
  <c r="G26" i="5"/>
  <c r="M7" i="5"/>
  <c r="E11" i="5"/>
  <c r="L5" i="5"/>
  <c r="C11" i="5"/>
  <c r="F11" i="5"/>
  <c r="M5" i="5"/>
  <c r="D11" i="5"/>
  <c r="L6" i="5"/>
  <c r="L7" i="5"/>
  <c r="M6" i="5"/>
  <c r="V63" i="1"/>
  <c r="S270" i="1"/>
  <c r="V47" i="1"/>
  <c r="T11" i="1"/>
  <c r="G26" i="4"/>
  <c r="G28" i="3"/>
  <c r="G21" i="4"/>
  <c r="G10" i="3"/>
  <c r="G8" i="3"/>
  <c r="G22" i="3"/>
  <c r="G27" i="4"/>
  <c r="G18" i="3"/>
  <c r="G27" i="3"/>
  <c r="M5" i="2"/>
  <c r="G8" i="2"/>
  <c r="G2" i="4"/>
  <c r="G7" i="3"/>
  <c r="M33" i="3"/>
  <c r="G7" i="2"/>
  <c r="G13" i="4"/>
  <c r="G17" i="4"/>
  <c r="G2" i="3"/>
  <c r="G21" i="3"/>
  <c r="G5" i="2"/>
  <c r="G23" i="4"/>
  <c r="G8" i="4"/>
  <c r="G12" i="4"/>
  <c r="G11" i="3"/>
  <c r="G23" i="3"/>
  <c r="L8" i="2"/>
  <c r="L4" i="2"/>
  <c r="M9" i="2"/>
  <c r="M6" i="2"/>
  <c r="L9" i="2"/>
  <c r="M17" i="3"/>
  <c r="L3" i="2"/>
  <c r="M4" i="2"/>
  <c r="L7" i="2"/>
  <c r="M8" i="2"/>
  <c r="L8" i="3"/>
  <c r="L2" i="2"/>
  <c r="M3" i="2"/>
  <c r="L6" i="2"/>
  <c r="M7" i="2"/>
  <c r="M2" i="2"/>
  <c r="L5" i="2"/>
  <c r="L24" i="3"/>
  <c r="L12" i="3"/>
  <c r="M21" i="3"/>
  <c r="L28" i="3"/>
  <c r="L16" i="3"/>
  <c r="M25" i="3"/>
  <c r="L32" i="3"/>
  <c r="L20" i="3"/>
  <c r="M29" i="3"/>
  <c r="L2" i="3"/>
  <c r="L4" i="3"/>
  <c r="L6" i="3"/>
  <c r="M6" i="3"/>
  <c r="M7" i="3"/>
  <c r="L10" i="3"/>
  <c r="M10" i="3"/>
  <c r="M11" i="3"/>
  <c r="L14" i="3"/>
  <c r="M14" i="3"/>
  <c r="M15" i="3"/>
  <c r="M2" i="3"/>
  <c r="M3" i="3"/>
  <c r="L3" i="3"/>
  <c r="M4" i="3"/>
  <c r="M5" i="3"/>
  <c r="L5" i="3"/>
  <c r="M9" i="3"/>
  <c r="L9" i="3"/>
  <c r="M13" i="3"/>
  <c r="L13" i="3"/>
  <c r="L7" i="3"/>
  <c r="M8" i="3"/>
  <c r="L11" i="3"/>
  <c r="M12" i="3"/>
  <c r="L15" i="3"/>
  <c r="M16" i="3"/>
  <c r="L19" i="3"/>
  <c r="M20" i="3"/>
  <c r="L23" i="3"/>
  <c r="M24" i="3"/>
  <c r="L27" i="3"/>
  <c r="M28" i="3"/>
  <c r="L31" i="3"/>
  <c r="M32" i="3"/>
  <c r="M20" i="4"/>
  <c r="L18" i="3"/>
  <c r="M19" i="3"/>
  <c r="L22" i="3"/>
  <c r="M23" i="3"/>
  <c r="L26" i="3"/>
  <c r="M27" i="3"/>
  <c r="L30" i="3"/>
  <c r="M31" i="3"/>
  <c r="L17" i="3"/>
  <c r="M18" i="3"/>
  <c r="L21" i="3"/>
  <c r="M22" i="3"/>
  <c r="L25" i="3"/>
  <c r="M26" i="3"/>
  <c r="L29" i="3"/>
  <c r="M30" i="3"/>
  <c r="L33" i="3"/>
  <c r="M3" i="4"/>
  <c r="L15" i="4"/>
  <c r="L2" i="4"/>
  <c r="M8" i="4"/>
  <c r="L19" i="4"/>
  <c r="M24" i="4"/>
  <c r="L6" i="4"/>
  <c r="M12" i="4"/>
  <c r="L23" i="4"/>
  <c r="M7" i="4"/>
  <c r="L11" i="4"/>
  <c r="M16" i="4"/>
  <c r="L27" i="4"/>
  <c r="M2" i="4"/>
  <c r="L5" i="4"/>
  <c r="L10" i="4"/>
  <c r="M11" i="4"/>
  <c r="L14" i="4"/>
  <c r="M15" i="4"/>
  <c r="L18" i="4"/>
  <c r="M19" i="4"/>
  <c r="L22" i="4"/>
  <c r="M23" i="4"/>
  <c r="L26" i="4"/>
  <c r="M27" i="4"/>
  <c r="L4" i="4"/>
  <c r="M5" i="4"/>
  <c r="L9" i="4"/>
  <c r="M10" i="4"/>
  <c r="L13" i="4"/>
  <c r="M14" i="4"/>
  <c r="L17" i="4"/>
  <c r="M18" i="4"/>
  <c r="L21" i="4"/>
  <c r="M22" i="4"/>
  <c r="L25" i="4"/>
  <c r="M26" i="4"/>
  <c r="M6" i="4"/>
  <c r="L3" i="4"/>
  <c r="M4" i="4"/>
  <c r="L8" i="4"/>
  <c r="M9" i="4"/>
  <c r="L12" i="4"/>
  <c r="M13" i="4"/>
  <c r="L16" i="4"/>
  <c r="M17" i="4"/>
  <c r="L20" i="4"/>
  <c r="M21" i="4"/>
  <c r="L24" i="4"/>
  <c r="M25" i="4"/>
  <c r="L7" i="4"/>
  <c r="S378" i="1"/>
  <c r="S20" i="1"/>
  <c r="S205" i="1"/>
  <c r="T133" i="1"/>
  <c r="S284" i="1"/>
  <c r="U439" i="1"/>
  <c r="S278" i="1"/>
  <c r="V67" i="1"/>
  <c r="V76" i="1"/>
  <c r="S249" i="1"/>
  <c r="U125" i="1"/>
  <c r="S262" i="1"/>
  <c r="U47" i="1"/>
  <c r="U7" i="1"/>
  <c r="U100" i="1"/>
  <c r="S63" i="1"/>
  <c r="T118" i="1"/>
  <c r="U363" i="1"/>
  <c r="S22" i="1"/>
  <c r="V475" i="1"/>
  <c r="V381" i="1"/>
  <c r="U443" i="1"/>
  <c r="S430" i="1"/>
  <c r="T193" i="1"/>
  <c r="S366" i="1"/>
  <c r="S345" i="1"/>
  <c r="U65" i="1"/>
  <c r="T321" i="1"/>
  <c r="T211" i="1"/>
  <c r="T424" i="1"/>
  <c r="V398" i="1"/>
  <c r="S281" i="1"/>
  <c r="V166" i="1"/>
  <c r="T430" i="1"/>
  <c r="T253" i="1"/>
  <c r="U463" i="1"/>
  <c r="V321" i="1"/>
  <c r="T140" i="1"/>
  <c r="V31" i="1"/>
  <c r="T273" i="1"/>
  <c r="U163" i="1"/>
  <c r="V118" i="1"/>
  <c r="S226" i="1"/>
  <c r="U381" i="1"/>
  <c r="S246" i="1"/>
  <c r="T415" i="1"/>
  <c r="U141" i="1"/>
  <c r="V270" i="1"/>
  <c r="T72" i="1"/>
  <c r="T368" i="1"/>
  <c r="T408" i="1"/>
  <c r="V385" i="1"/>
  <c r="U243" i="1"/>
  <c r="S298" i="1"/>
  <c r="S481" i="1"/>
  <c r="S344" i="1"/>
  <c r="V430" i="1"/>
  <c r="U193" i="1"/>
  <c r="V22" i="1"/>
  <c r="U253" i="1"/>
  <c r="T330" i="1"/>
  <c r="V463" i="1"/>
  <c r="V72" i="1"/>
  <c r="U140" i="1"/>
  <c r="T218" i="1"/>
  <c r="S432" i="1"/>
  <c r="U416" i="1"/>
  <c r="S133" i="1"/>
  <c r="U11" i="1"/>
  <c r="T283" i="1"/>
  <c r="T65" i="1"/>
  <c r="U211" i="1"/>
  <c r="T256" i="1"/>
  <c r="V158" i="1"/>
  <c r="T15" i="1"/>
  <c r="S15" i="1"/>
  <c r="V102" i="1"/>
  <c r="U102" i="1"/>
  <c r="T145" i="1"/>
  <c r="S145" i="1"/>
  <c r="T212" i="1"/>
  <c r="S212" i="1"/>
  <c r="V212" i="1"/>
  <c r="T259" i="1"/>
  <c r="U259" i="1"/>
  <c r="V259" i="1"/>
  <c r="S259" i="1"/>
  <c r="V291" i="1"/>
  <c r="S291" i="1"/>
  <c r="U291" i="1"/>
  <c r="T291" i="1"/>
  <c r="V312" i="1"/>
  <c r="U312" i="1"/>
  <c r="U161" i="1"/>
  <c r="T161" i="1"/>
  <c r="V161" i="1"/>
  <c r="S161" i="1"/>
  <c r="V375" i="1"/>
  <c r="S375" i="1"/>
  <c r="U375" i="1"/>
  <c r="T24" i="1"/>
  <c r="S24" i="1"/>
  <c r="V194" i="1"/>
  <c r="U194" i="1"/>
  <c r="T174" i="1"/>
  <c r="S174" i="1"/>
  <c r="S247" i="1"/>
  <c r="V247" i="1"/>
  <c r="U247" i="1"/>
  <c r="T247" i="1"/>
  <c r="T359" i="1"/>
  <c r="U359" i="1"/>
  <c r="V359" i="1"/>
  <c r="V444" i="1"/>
  <c r="T444" i="1"/>
  <c r="S444" i="1"/>
  <c r="U444" i="1"/>
  <c r="T21" i="1"/>
  <c r="U21" i="1"/>
  <c r="T106" i="1"/>
  <c r="S106" i="1"/>
  <c r="V304" i="1"/>
  <c r="U304" i="1"/>
  <c r="T304" i="1"/>
  <c r="S304" i="1"/>
  <c r="S470" i="1"/>
  <c r="U470" i="1"/>
  <c r="T470" i="1"/>
  <c r="V470" i="1"/>
  <c r="S342" i="1"/>
  <c r="S131" i="1"/>
  <c r="S139" i="1"/>
  <c r="T233" i="1"/>
  <c r="V300" i="1"/>
  <c r="T382" i="1"/>
  <c r="S313" i="1"/>
  <c r="U223" i="1"/>
  <c r="S474" i="1"/>
  <c r="U457" i="1"/>
  <c r="U145" i="1"/>
  <c r="S312" i="1"/>
  <c r="T38" i="1"/>
  <c r="U38" i="1"/>
  <c r="V38" i="1"/>
  <c r="T96" i="1"/>
  <c r="V96" i="1"/>
  <c r="U96" i="1"/>
  <c r="V143" i="1"/>
  <c r="U143" i="1"/>
  <c r="T155" i="1"/>
  <c r="U155" i="1"/>
  <c r="S155" i="1"/>
  <c r="U292" i="1"/>
  <c r="T292" i="1"/>
  <c r="V292" i="1"/>
  <c r="T317" i="1"/>
  <c r="U317" i="1"/>
  <c r="S387" i="1"/>
  <c r="V387" i="1"/>
  <c r="U387" i="1"/>
  <c r="V405" i="1"/>
  <c r="U405" i="1"/>
  <c r="S431" i="1"/>
  <c r="V431" i="1"/>
  <c r="U431" i="1"/>
  <c r="T431" i="1"/>
  <c r="V117" i="1"/>
  <c r="U117" i="1"/>
  <c r="T115" i="1"/>
  <c r="S115" i="1"/>
  <c r="V446" i="1"/>
  <c r="U446" i="1"/>
  <c r="T446" i="1"/>
  <c r="S446" i="1"/>
  <c r="V328" i="1"/>
  <c r="U328" i="1"/>
  <c r="V376" i="1"/>
  <c r="T376" i="1"/>
  <c r="U376" i="1"/>
  <c r="S376" i="1"/>
  <c r="U402" i="1"/>
  <c r="T402" i="1"/>
  <c r="V402" i="1"/>
  <c r="V54" i="1"/>
  <c r="U54" i="1"/>
  <c r="V152" i="1"/>
  <c r="U152" i="1"/>
  <c r="S152" i="1"/>
  <c r="V295" i="1"/>
  <c r="U295" i="1"/>
  <c r="V403" i="1"/>
  <c r="T63" i="1"/>
  <c r="V416" i="1"/>
  <c r="V11" i="1"/>
  <c r="U330" i="1"/>
  <c r="S343" i="1"/>
  <c r="S134" i="1"/>
  <c r="S476" i="1"/>
  <c r="V382" i="1"/>
  <c r="V256" i="1"/>
  <c r="V424" i="1"/>
  <c r="S251" i="1"/>
  <c r="T117" i="1"/>
  <c r="V115" i="1"/>
  <c r="V145" i="1"/>
  <c r="T54" i="1"/>
  <c r="T312" i="1"/>
  <c r="S38" i="1"/>
  <c r="S317" i="1"/>
  <c r="S292" i="1"/>
  <c r="S402" i="1"/>
  <c r="T6" i="1"/>
  <c r="U6" i="1"/>
  <c r="V6" i="1"/>
  <c r="S6" i="1"/>
  <c r="U34" i="1"/>
  <c r="T34" i="1"/>
  <c r="V34" i="1"/>
  <c r="T123" i="1"/>
  <c r="S123" i="1"/>
  <c r="V123" i="1"/>
  <c r="U123" i="1"/>
  <c r="V90" i="1"/>
  <c r="T90" i="1"/>
  <c r="S90" i="1"/>
  <c r="S114" i="1"/>
  <c r="V114" i="1"/>
  <c r="U114" i="1"/>
  <c r="T136" i="1"/>
  <c r="V136" i="1"/>
  <c r="U136" i="1"/>
  <c r="S142" i="1"/>
  <c r="V142" i="1"/>
  <c r="U142" i="1"/>
  <c r="U160" i="1"/>
  <c r="T160" i="1"/>
  <c r="V160" i="1"/>
  <c r="S160" i="1"/>
  <c r="V209" i="1"/>
  <c r="U209" i="1"/>
  <c r="T209" i="1"/>
  <c r="S209" i="1"/>
  <c r="T243" i="1"/>
  <c r="S243" i="1"/>
  <c r="U260" i="1"/>
  <c r="T260" i="1"/>
  <c r="V260" i="1"/>
  <c r="V273" i="1"/>
  <c r="U273" i="1"/>
  <c r="V298" i="1"/>
  <c r="U298" i="1"/>
  <c r="T288" i="1"/>
  <c r="U288" i="1"/>
  <c r="V288" i="1"/>
  <c r="V344" i="1"/>
  <c r="U344" i="1"/>
  <c r="T354" i="1"/>
  <c r="U354" i="1"/>
  <c r="T365" i="1"/>
  <c r="S365" i="1"/>
  <c r="U365" i="1"/>
  <c r="V365" i="1"/>
  <c r="V372" i="1"/>
  <c r="U372" i="1"/>
  <c r="T372" i="1"/>
  <c r="S372" i="1"/>
  <c r="T383" i="1"/>
  <c r="S383" i="1"/>
  <c r="V415" i="1"/>
  <c r="U415" i="1"/>
  <c r="V432" i="1"/>
  <c r="U432" i="1"/>
  <c r="S335" i="1"/>
  <c r="V335" i="1"/>
  <c r="U335" i="1"/>
  <c r="T477" i="1"/>
  <c r="S477" i="1"/>
  <c r="V477" i="1"/>
  <c r="U477" i="1"/>
  <c r="U13" i="1"/>
  <c r="T13" i="1"/>
  <c r="V13" i="1"/>
  <c r="U53" i="1"/>
  <c r="T53" i="1"/>
  <c r="V53" i="1"/>
  <c r="S53" i="1"/>
  <c r="V103" i="1"/>
  <c r="T103" i="1"/>
  <c r="U103" i="1"/>
  <c r="S103" i="1"/>
  <c r="T111" i="1"/>
  <c r="V111" i="1"/>
  <c r="U111" i="1"/>
  <c r="S111" i="1"/>
  <c r="S108" i="1"/>
  <c r="V108" i="1"/>
  <c r="U108" i="1"/>
  <c r="T108" i="1"/>
  <c r="U241" i="1"/>
  <c r="T241" i="1"/>
  <c r="V241" i="1"/>
  <c r="V281" i="1"/>
  <c r="U281" i="1"/>
  <c r="V349" i="1"/>
  <c r="T349" i="1"/>
  <c r="S349" i="1"/>
  <c r="U349" i="1"/>
  <c r="V340" i="1"/>
  <c r="U340" i="1"/>
  <c r="S340" i="1"/>
  <c r="T340" i="1"/>
  <c r="T182" i="1"/>
  <c r="S182" i="1"/>
  <c r="V182" i="1"/>
  <c r="U182" i="1"/>
  <c r="S392" i="1"/>
  <c r="V392" i="1"/>
  <c r="U392" i="1"/>
  <c r="T392" i="1"/>
  <c r="S71" i="1"/>
  <c r="V71" i="1"/>
  <c r="U71" i="1"/>
  <c r="T71" i="1"/>
  <c r="T122" i="1"/>
  <c r="V122" i="1"/>
  <c r="U122" i="1"/>
  <c r="S122" i="1"/>
  <c r="U196" i="1"/>
  <c r="T196" i="1"/>
  <c r="V196" i="1"/>
  <c r="T254" i="1"/>
  <c r="U254" i="1"/>
  <c r="V254" i="1"/>
  <c r="S254" i="1"/>
  <c r="U310" i="1"/>
  <c r="T310" i="1"/>
  <c r="V310" i="1"/>
  <c r="S310" i="1"/>
  <c r="V391" i="1"/>
  <c r="T391" i="1"/>
  <c r="U391" i="1"/>
  <c r="S391" i="1"/>
  <c r="T443" i="1"/>
  <c r="S443" i="1"/>
  <c r="S403" i="1"/>
  <c r="U342" i="1"/>
  <c r="U131" i="1"/>
  <c r="U63" i="1"/>
  <c r="S416" i="1"/>
  <c r="U139" i="1"/>
  <c r="S163" i="1"/>
  <c r="U133" i="1"/>
  <c r="S11" i="1"/>
  <c r="T434" i="1"/>
  <c r="T329" i="1"/>
  <c r="V193" i="1"/>
  <c r="T22" i="1"/>
  <c r="T270" i="1"/>
  <c r="T438" i="1"/>
  <c r="T300" i="1"/>
  <c r="T366" i="1"/>
  <c r="V253" i="1"/>
  <c r="T345" i="1"/>
  <c r="T475" i="1"/>
  <c r="V330" i="1"/>
  <c r="T343" i="1"/>
  <c r="V65" i="1"/>
  <c r="T463" i="1"/>
  <c r="V368" i="1"/>
  <c r="T134" i="1"/>
  <c r="T425" i="1"/>
  <c r="T226" i="1"/>
  <c r="V140" i="1"/>
  <c r="T476" i="1"/>
  <c r="T381" i="1"/>
  <c r="V380" i="1"/>
  <c r="V211" i="1"/>
  <c r="T31" i="1"/>
  <c r="T30" i="1"/>
  <c r="T284" i="1"/>
  <c r="T398" i="1"/>
  <c r="T251" i="1"/>
  <c r="T385" i="1"/>
  <c r="V218" i="1"/>
  <c r="T44" i="1"/>
  <c r="T158" i="1"/>
  <c r="S143" i="1"/>
  <c r="U383" i="1"/>
  <c r="S405" i="1"/>
  <c r="U15" i="1"/>
  <c r="V354" i="1"/>
  <c r="T375" i="1"/>
  <c r="V317" i="1"/>
  <c r="T114" i="1"/>
  <c r="U212" i="1"/>
  <c r="V59" i="1"/>
  <c r="T59" i="1"/>
  <c r="S59" i="1"/>
  <c r="U59" i="1"/>
  <c r="V64" i="1"/>
  <c r="U64" i="1"/>
  <c r="T33" i="1"/>
  <c r="V33" i="1"/>
  <c r="U33" i="1"/>
  <c r="S33" i="1"/>
  <c r="V101" i="1"/>
  <c r="U101" i="1"/>
  <c r="T101" i="1"/>
  <c r="V154" i="1"/>
  <c r="U154" i="1"/>
  <c r="T154" i="1"/>
  <c r="S154" i="1"/>
  <c r="T168" i="1"/>
  <c r="S168" i="1"/>
  <c r="T223" i="1"/>
  <c r="S223" i="1"/>
  <c r="V268" i="1"/>
  <c r="U268" i="1"/>
  <c r="S357" i="1"/>
  <c r="V357" i="1"/>
  <c r="U357" i="1"/>
  <c r="T357" i="1"/>
  <c r="U386" i="1"/>
  <c r="T386" i="1"/>
  <c r="V386" i="1"/>
  <c r="S386" i="1"/>
  <c r="T433" i="1"/>
  <c r="S433" i="1"/>
  <c r="T467" i="1"/>
  <c r="U467" i="1"/>
  <c r="V467" i="1"/>
  <c r="S467" i="1"/>
  <c r="T457" i="1"/>
  <c r="S457" i="1"/>
  <c r="T112" i="1"/>
  <c r="V112" i="1"/>
  <c r="U112" i="1"/>
  <c r="S112" i="1"/>
  <c r="U195" i="1"/>
  <c r="T195" i="1"/>
  <c r="V195" i="1"/>
  <c r="S195" i="1"/>
  <c r="V313" i="1"/>
  <c r="U313" i="1"/>
  <c r="T346" i="1"/>
  <c r="U346" i="1"/>
  <c r="V346" i="1"/>
  <c r="S346" i="1"/>
  <c r="T369" i="1"/>
  <c r="S369" i="1"/>
  <c r="V474" i="1"/>
  <c r="U474" i="1"/>
  <c r="T128" i="1"/>
  <c r="V128" i="1"/>
  <c r="U128" i="1"/>
  <c r="S128" i="1"/>
  <c r="U326" i="1"/>
  <c r="T326" i="1"/>
  <c r="V326" i="1"/>
  <c r="S326" i="1"/>
  <c r="V374" i="1"/>
  <c r="T374" i="1"/>
  <c r="S374" i="1"/>
  <c r="U374" i="1"/>
  <c r="U403" i="1"/>
  <c r="V329" i="1"/>
  <c r="V425" i="1"/>
  <c r="T380" i="1"/>
  <c r="T50" i="1"/>
  <c r="T483" i="1"/>
  <c r="U168" i="1"/>
  <c r="S268" i="1"/>
  <c r="U174" i="1"/>
  <c r="S194" i="1"/>
  <c r="U106" i="1"/>
  <c r="U24" i="1"/>
  <c r="S102" i="1"/>
  <c r="S64" i="1"/>
  <c r="U369" i="1"/>
  <c r="V21" i="1"/>
  <c r="T127" i="1"/>
  <c r="S127" i="1"/>
  <c r="U127" i="1"/>
  <c r="V127" i="1"/>
  <c r="T121" i="1"/>
  <c r="V121" i="1"/>
  <c r="U121" i="1"/>
  <c r="V144" i="1"/>
  <c r="U144" i="1"/>
  <c r="T230" i="1"/>
  <c r="U230" i="1"/>
  <c r="V246" i="1"/>
  <c r="U246" i="1"/>
  <c r="V262" i="1"/>
  <c r="U262" i="1"/>
  <c r="T307" i="1"/>
  <c r="S307" i="1"/>
  <c r="V307" i="1"/>
  <c r="V413" i="1"/>
  <c r="U413" i="1"/>
  <c r="T413" i="1"/>
  <c r="S413" i="1"/>
  <c r="U448" i="1"/>
  <c r="T448" i="1"/>
  <c r="V448" i="1"/>
  <c r="S448" i="1"/>
  <c r="S478" i="1"/>
  <c r="V478" i="1"/>
  <c r="U478" i="1"/>
  <c r="T41" i="1"/>
  <c r="S41" i="1"/>
  <c r="V66" i="1"/>
  <c r="U66" i="1"/>
  <c r="S109" i="1"/>
  <c r="V109" i="1"/>
  <c r="U109" i="1"/>
  <c r="V169" i="1"/>
  <c r="S169" i="1"/>
  <c r="U169" i="1"/>
  <c r="T169" i="1"/>
  <c r="V238" i="1"/>
  <c r="U238" i="1"/>
  <c r="T238" i="1"/>
  <c r="S238" i="1"/>
  <c r="T258" i="1"/>
  <c r="S258" i="1"/>
  <c r="T324" i="1"/>
  <c r="V324" i="1"/>
  <c r="U324" i="1"/>
  <c r="S324" i="1"/>
  <c r="U347" i="1"/>
  <c r="V347" i="1"/>
  <c r="T347" i="1"/>
  <c r="T401" i="1"/>
  <c r="V401" i="1"/>
  <c r="U401" i="1"/>
  <c r="T414" i="1"/>
  <c r="U414" i="1"/>
  <c r="S414" i="1"/>
  <c r="T120" i="1"/>
  <c r="S120" i="1"/>
  <c r="V120" i="1"/>
  <c r="V481" i="1"/>
  <c r="U481" i="1"/>
  <c r="T342" i="1"/>
  <c r="T131" i="1"/>
  <c r="T139" i="1"/>
  <c r="V163" i="1"/>
  <c r="S434" i="1"/>
  <c r="V233" i="1"/>
  <c r="S438" i="1"/>
  <c r="V283" i="1"/>
  <c r="U368" i="1"/>
  <c r="V408" i="1"/>
  <c r="U380" i="1"/>
  <c r="V50" i="1"/>
  <c r="S30" i="1"/>
  <c r="U218" i="1"/>
  <c r="S44" i="1"/>
  <c r="V483" i="1"/>
  <c r="T328" i="1"/>
  <c r="V258" i="1"/>
  <c r="T268" i="1"/>
  <c r="V174" i="1"/>
  <c r="V433" i="1"/>
  <c r="T194" i="1"/>
  <c r="T66" i="1"/>
  <c r="T295" i="1"/>
  <c r="V106" i="1"/>
  <c r="V24" i="1"/>
  <c r="V41" i="1"/>
  <c r="T102" i="1"/>
  <c r="T144" i="1"/>
  <c r="T64" i="1"/>
  <c r="V20" i="1"/>
  <c r="U20" i="1"/>
  <c r="V51" i="1"/>
  <c r="U51" i="1"/>
  <c r="T51" i="1"/>
  <c r="S51" i="1"/>
  <c r="T76" i="1"/>
  <c r="S76" i="1"/>
  <c r="T77" i="1"/>
  <c r="V77" i="1"/>
  <c r="U77" i="1"/>
  <c r="S77" i="1"/>
  <c r="T67" i="1"/>
  <c r="S67" i="1"/>
  <c r="T125" i="1"/>
  <c r="S125" i="1"/>
  <c r="V126" i="1"/>
  <c r="S126" i="1"/>
  <c r="T126" i="1"/>
  <c r="S113" i="1"/>
  <c r="V113" i="1"/>
  <c r="U113" i="1"/>
  <c r="T113" i="1"/>
  <c r="T141" i="1"/>
  <c r="S141" i="1"/>
  <c r="T166" i="1"/>
  <c r="S166" i="1"/>
  <c r="T248" i="1"/>
  <c r="V248" i="1"/>
  <c r="U248" i="1"/>
  <c r="V257" i="1"/>
  <c r="T257" i="1"/>
  <c r="S257" i="1"/>
  <c r="S272" i="1"/>
  <c r="V272" i="1"/>
  <c r="U272" i="1"/>
  <c r="T293" i="1"/>
  <c r="V293" i="1"/>
  <c r="U293" i="1"/>
  <c r="S293" i="1"/>
  <c r="S336" i="1"/>
  <c r="V336" i="1"/>
  <c r="U336" i="1"/>
  <c r="T336" i="1"/>
  <c r="V353" i="1"/>
  <c r="U353" i="1"/>
  <c r="S353" i="1"/>
  <c r="T394" i="1"/>
  <c r="V394" i="1"/>
  <c r="U394" i="1"/>
  <c r="T370" i="1"/>
  <c r="V370" i="1"/>
  <c r="U370" i="1"/>
  <c r="V389" i="1"/>
  <c r="S389" i="1"/>
  <c r="U389" i="1"/>
  <c r="T389" i="1"/>
  <c r="T404" i="1"/>
  <c r="V404" i="1"/>
  <c r="U404" i="1"/>
  <c r="V407" i="1"/>
  <c r="T407" i="1"/>
  <c r="S407" i="1"/>
  <c r="T428" i="1"/>
  <c r="U428" i="1"/>
  <c r="S428" i="1"/>
  <c r="T439" i="1"/>
  <c r="S439" i="1"/>
  <c r="V454" i="1"/>
  <c r="S454" i="1"/>
  <c r="U454" i="1"/>
  <c r="T454" i="1"/>
  <c r="T461" i="1"/>
  <c r="V461" i="1"/>
  <c r="U461" i="1"/>
  <c r="S461" i="1"/>
  <c r="T7" i="1"/>
  <c r="S7" i="1"/>
  <c r="T47" i="1"/>
  <c r="S47" i="1"/>
  <c r="T36" i="1"/>
  <c r="S36" i="1"/>
  <c r="V36" i="1"/>
  <c r="U36" i="1"/>
  <c r="S110" i="1"/>
  <c r="U110" i="1"/>
  <c r="T110" i="1"/>
  <c r="V110" i="1"/>
  <c r="V164" i="1"/>
  <c r="T164" i="1"/>
  <c r="S164" i="1"/>
  <c r="U197" i="1"/>
  <c r="S197" i="1"/>
  <c r="V197" i="1"/>
  <c r="T197" i="1"/>
  <c r="V213" i="1"/>
  <c r="U213" i="1"/>
  <c r="T213" i="1"/>
  <c r="S213" i="1"/>
  <c r="V240" i="1"/>
  <c r="U240" i="1"/>
  <c r="V249" i="1"/>
  <c r="U249" i="1"/>
  <c r="V285" i="1"/>
  <c r="T285" i="1"/>
  <c r="S285" i="1"/>
  <c r="T311" i="1"/>
  <c r="V311" i="1"/>
  <c r="U311" i="1"/>
  <c r="S311" i="1"/>
  <c r="T334" i="1"/>
  <c r="U334" i="1"/>
  <c r="S334" i="1"/>
  <c r="U356" i="1"/>
  <c r="T356" i="1"/>
  <c r="V356" i="1"/>
  <c r="S356" i="1"/>
  <c r="V378" i="1"/>
  <c r="U378" i="1"/>
  <c r="T363" i="1"/>
  <c r="S363" i="1"/>
  <c r="T445" i="1"/>
  <c r="U445" i="1"/>
  <c r="V445" i="1"/>
  <c r="S445" i="1"/>
  <c r="V466" i="1"/>
  <c r="U466" i="1"/>
  <c r="V23" i="1"/>
  <c r="U23" i="1"/>
  <c r="S23" i="1"/>
  <c r="T23" i="1"/>
  <c r="T100" i="1"/>
  <c r="S100" i="1"/>
  <c r="T205" i="1"/>
  <c r="U205" i="1"/>
  <c r="V278" i="1"/>
  <c r="U278" i="1"/>
  <c r="T323" i="1"/>
  <c r="S323" i="1"/>
  <c r="V323" i="1"/>
  <c r="U323" i="1"/>
  <c r="S362" i="1"/>
  <c r="V362" i="1"/>
  <c r="U362" i="1"/>
  <c r="T362" i="1"/>
  <c r="V379" i="1"/>
  <c r="T379" i="1"/>
  <c r="S379" i="1"/>
  <c r="T442" i="1"/>
  <c r="V442" i="1"/>
  <c r="U442" i="1"/>
  <c r="V434" i="1"/>
  <c r="U329" i="1"/>
  <c r="S233" i="1"/>
  <c r="U270" i="1"/>
  <c r="V438" i="1"/>
  <c r="U300" i="1"/>
  <c r="V366" i="1"/>
  <c r="S118" i="1"/>
  <c r="V345" i="1"/>
  <c r="U475" i="1"/>
  <c r="S283" i="1"/>
  <c r="V343" i="1"/>
  <c r="S72" i="1"/>
  <c r="V134" i="1"/>
  <c r="U425" i="1"/>
  <c r="S321" i="1"/>
  <c r="V226" i="1"/>
  <c r="S408" i="1"/>
  <c r="V476" i="1"/>
  <c r="S382" i="1"/>
  <c r="S50" i="1"/>
  <c r="U31" i="1"/>
  <c r="S256" i="1"/>
  <c r="V30" i="1"/>
  <c r="S424" i="1"/>
  <c r="V284" i="1"/>
  <c r="U398" i="1"/>
  <c r="V251" i="1"/>
  <c r="U385" i="1"/>
  <c r="V44" i="1"/>
  <c r="U158" i="1"/>
  <c r="S483" i="1"/>
  <c r="T143" i="1"/>
  <c r="U379" i="1"/>
  <c r="V383" i="1"/>
  <c r="U257" i="1"/>
  <c r="T405" i="1"/>
  <c r="V15" i="1"/>
  <c r="T240" i="1"/>
  <c r="U164" i="1"/>
  <c r="T466" i="1"/>
  <c r="V155" i="1"/>
  <c r="S21" i="1"/>
  <c r="S359" i="1"/>
  <c r="T152" i="1"/>
  <c r="S230" i="1"/>
  <c r="S241" i="1"/>
  <c r="S260" i="1"/>
  <c r="S13" i="1"/>
  <c r="S34" i="1"/>
  <c r="T335" i="1"/>
  <c r="S101" i="1"/>
  <c r="G14" i="5"/>
  <c r="G18" i="5"/>
  <c r="G15" i="5"/>
  <c r="R7" i="2" l="1"/>
  <c r="U7" i="2"/>
  <c r="U8" i="2"/>
  <c r="R8" i="2"/>
  <c r="U5" i="2"/>
  <c r="R5" i="2"/>
  <c r="R10" i="3"/>
  <c r="U10" i="3"/>
  <c r="R21" i="3"/>
  <c r="U21" i="3"/>
  <c r="R2" i="3"/>
  <c r="U2" i="3"/>
  <c r="R22" i="3"/>
  <c r="U22" i="3"/>
  <c r="R28" i="3"/>
  <c r="U28" i="3"/>
  <c r="R11" i="3"/>
  <c r="U11" i="3"/>
  <c r="R18" i="3"/>
  <c r="U18" i="3"/>
  <c r="R23" i="3"/>
  <c r="U23" i="3"/>
  <c r="U7" i="3"/>
  <c r="R7" i="3"/>
  <c r="R27" i="3"/>
  <c r="U27" i="3"/>
  <c r="R8" i="3"/>
  <c r="U8" i="3"/>
  <c r="R12" i="4"/>
  <c r="U12" i="4"/>
  <c r="U27" i="4"/>
  <c r="R27" i="4"/>
  <c r="U21" i="4"/>
  <c r="R21" i="4"/>
  <c r="R8" i="4"/>
  <c r="U8" i="4"/>
  <c r="U13" i="4"/>
  <c r="R13" i="4"/>
  <c r="R2" i="4"/>
  <c r="U2" i="4"/>
  <c r="U23" i="4"/>
  <c r="R23" i="4"/>
  <c r="R17" i="4"/>
  <c r="U17" i="4"/>
  <c r="R26" i="4"/>
  <c r="U26" i="4"/>
  <c r="N15" i="5"/>
  <c r="U15" i="5"/>
  <c r="R15" i="5"/>
  <c r="U14" i="5"/>
  <c r="N14" i="5"/>
  <c r="R14" i="5"/>
  <c r="J17" i="5"/>
  <c r="U17" i="5"/>
  <c r="N17" i="5"/>
  <c r="R17" i="5"/>
  <c r="S11" i="5"/>
  <c r="T11" i="5"/>
  <c r="N18" i="5"/>
  <c r="U18" i="5"/>
  <c r="R18" i="5"/>
  <c r="N26" i="5"/>
  <c r="U26" i="5"/>
  <c r="R26" i="5"/>
  <c r="N4" i="5"/>
  <c r="U4" i="5"/>
  <c r="R4" i="5"/>
  <c r="I16" i="5"/>
  <c r="N16" i="5"/>
  <c r="U16" i="5"/>
  <c r="R16" i="5"/>
  <c r="J16" i="5"/>
  <c r="H16" i="5"/>
  <c r="H17" i="5"/>
  <c r="K16" i="5"/>
  <c r="K17" i="5"/>
  <c r="I17" i="5"/>
  <c r="H15" i="5"/>
  <c r="J15" i="5"/>
  <c r="K15" i="5"/>
  <c r="I15" i="5"/>
  <c r="H18" i="5"/>
  <c r="I18" i="5"/>
  <c r="J18" i="5"/>
  <c r="K18" i="5"/>
  <c r="J14" i="5"/>
  <c r="K14" i="5"/>
  <c r="H14" i="5"/>
  <c r="I14" i="5"/>
  <c r="I13" i="4"/>
  <c r="K2" i="4"/>
  <c r="H23" i="3"/>
  <c r="I23" i="4"/>
  <c r="J17" i="4"/>
  <c r="H7" i="3"/>
  <c r="H27" i="3"/>
  <c r="H8" i="3"/>
  <c r="J26" i="4"/>
  <c r="H5" i="2"/>
  <c r="H10" i="3"/>
  <c r="H21" i="3"/>
  <c r="I7" i="2"/>
  <c r="I8" i="2"/>
  <c r="I27" i="4"/>
  <c r="I21" i="4"/>
  <c r="J11" i="3"/>
  <c r="I18" i="3"/>
  <c r="I12" i="4"/>
  <c r="I8" i="4"/>
  <c r="J2" i="3"/>
  <c r="I22" i="3"/>
  <c r="K28" i="3"/>
  <c r="AC8" i="1"/>
  <c r="AC37" i="1"/>
  <c r="AC56" i="1"/>
  <c r="AC57" i="1"/>
  <c r="AC119" i="1"/>
  <c r="AC199" i="1"/>
  <c r="AC202" i="1"/>
  <c r="AC217" i="1"/>
  <c r="AC271" i="1"/>
  <c r="AC263" i="1"/>
  <c r="AC290" i="1"/>
  <c r="AC333" i="1"/>
  <c r="AC412" i="1"/>
  <c r="AC417" i="1"/>
  <c r="AC458" i="1"/>
  <c r="AC16" i="1"/>
  <c r="AC74" i="1"/>
  <c r="AC45" i="1"/>
  <c r="AC82" i="1"/>
  <c r="AC99" i="1"/>
  <c r="AC94" i="1"/>
  <c r="AC105" i="1"/>
  <c r="AC148" i="1"/>
  <c r="AC153" i="1"/>
  <c r="AC214" i="1"/>
  <c r="AC222" i="1"/>
  <c r="AC228" i="1"/>
  <c r="AC239" i="1"/>
  <c r="AC266" i="1"/>
  <c r="AC296" i="1"/>
  <c r="AC305" i="1"/>
  <c r="AC332" i="1"/>
  <c r="AC358" i="1"/>
  <c r="AC373" i="1"/>
  <c r="AC390" i="1"/>
  <c r="AC440" i="1"/>
  <c r="AC479" i="1"/>
  <c r="AC484" i="1"/>
  <c r="AC78" i="1"/>
  <c r="AC28" i="1"/>
  <c r="AC55" i="1"/>
  <c r="AC130" i="1"/>
  <c r="AC210" i="1"/>
  <c r="AC261" i="1"/>
  <c r="AC267" i="1"/>
  <c r="AC314" i="1"/>
  <c r="AC327" i="1"/>
  <c r="AC361" i="1"/>
  <c r="AC395" i="1"/>
  <c r="AC421" i="1"/>
  <c r="AC447" i="1"/>
  <c r="AC464" i="1"/>
  <c r="AC46" i="1"/>
  <c r="AC286" i="1"/>
  <c r="AC426" i="1"/>
  <c r="AC14" i="1"/>
  <c r="AC42" i="1"/>
  <c r="AC159" i="1"/>
  <c r="AC234" i="1"/>
  <c r="AC282" i="1"/>
  <c r="AC388" i="1"/>
  <c r="AC465" i="1"/>
  <c r="AC73" i="1"/>
  <c r="AC79" i="1"/>
  <c r="AC132" i="1"/>
  <c r="AC93" i="1"/>
  <c r="AC200" i="1"/>
  <c r="AC225" i="1"/>
  <c r="AC269" i="1"/>
  <c r="AC149" i="1"/>
  <c r="AC350" i="1"/>
  <c r="AC393" i="1"/>
  <c r="AC455" i="1"/>
  <c r="AC12" i="1"/>
  <c r="AC69" i="1"/>
  <c r="AC203" i="1"/>
  <c r="AC280" i="1"/>
  <c r="AC48" i="1"/>
  <c r="AC411" i="1"/>
  <c r="AC422" i="1"/>
  <c r="AC75" i="1"/>
  <c r="AC419" i="1"/>
  <c r="AC19" i="1"/>
  <c r="AC58" i="1"/>
  <c r="AC156" i="1"/>
  <c r="AC221" i="1"/>
  <c r="AC264" i="1"/>
  <c r="AC322" i="1"/>
  <c r="AC406" i="1"/>
  <c r="AC459" i="1"/>
  <c r="AC27" i="1"/>
  <c r="AC35" i="1"/>
  <c r="AC83" i="1"/>
  <c r="AC150" i="1"/>
  <c r="AC232" i="1"/>
  <c r="AC255" i="1"/>
  <c r="AC294" i="1"/>
  <c r="AC338" i="1"/>
  <c r="AC364" i="1"/>
  <c r="AC480" i="1"/>
  <c r="AC4" i="1"/>
  <c r="AC29" i="1"/>
  <c r="AC162" i="1"/>
  <c r="AC320" i="1"/>
  <c r="AC360" i="1"/>
  <c r="AC427" i="1"/>
  <c r="AC473" i="1"/>
  <c r="AC308" i="1"/>
  <c r="AC5" i="1"/>
  <c r="AC26" i="1"/>
  <c r="AC129" i="1"/>
  <c r="AC206" i="1"/>
  <c r="AC252" i="1"/>
  <c r="AC309" i="1"/>
  <c r="AC319" i="1"/>
  <c r="AC437" i="1"/>
  <c r="AC449" i="1"/>
  <c r="AC68" i="1"/>
  <c r="AC107" i="1"/>
  <c r="AC85" i="1"/>
  <c r="AC151" i="1"/>
  <c r="AC220" i="1"/>
  <c r="AC224" i="1"/>
  <c r="AC302" i="1"/>
  <c r="AC337" i="1"/>
  <c r="AC409" i="1"/>
  <c r="AC207" i="1"/>
  <c r="AC468" i="1"/>
  <c r="AC62" i="1"/>
  <c r="AC104" i="1"/>
  <c r="AC245" i="1"/>
  <c r="AC287" i="1"/>
  <c r="AC352" i="1"/>
  <c r="AC423" i="1"/>
  <c r="AC451" i="1"/>
  <c r="AC279" i="1"/>
  <c r="AC39" i="1"/>
  <c r="AC89" i="1"/>
  <c r="AC198" i="1"/>
  <c r="AC244" i="1"/>
  <c r="AC301" i="1"/>
  <c r="AC339" i="1"/>
  <c r="AC435" i="1"/>
  <c r="AC17" i="1"/>
  <c r="AC70" i="1"/>
  <c r="AC91" i="1"/>
  <c r="AC98" i="1"/>
  <c r="AC147" i="1"/>
  <c r="AC235" i="1"/>
  <c r="AC208" i="1"/>
  <c r="AC265" i="1"/>
  <c r="AC306" i="1"/>
  <c r="AC396" i="1"/>
  <c r="AC436" i="1"/>
  <c r="AC450" i="1"/>
  <c r="AC52" i="1"/>
  <c r="AC124" i="1"/>
  <c r="AC231" i="1"/>
  <c r="AC299" i="1"/>
  <c r="AC331" i="1"/>
  <c r="AC384" i="1"/>
  <c r="AC453" i="1"/>
  <c r="AC86" i="1"/>
  <c r="AC469" i="1"/>
  <c r="AC9" i="1"/>
  <c r="AC10" i="1"/>
  <c r="AC40" i="1"/>
  <c r="AC32" i="1"/>
  <c r="AC87" i="1"/>
  <c r="AC157" i="1"/>
  <c r="AC201" i="1"/>
  <c r="AC237" i="1"/>
  <c r="AC242" i="1"/>
  <c r="AC275" i="1"/>
  <c r="AC289" i="1"/>
  <c r="AC315" i="1"/>
  <c r="AC367" i="1"/>
  <c r="AC377" i="1"/>
  <c r="AC452" i="1"/>
  <c r="AC460" i="1"/>
  <c r="AC43" i="1"/>
  <c r="AC81" i="1"/>
  <c r="AC25" i="1"/>
  <c r="AC61" i="1"/>
  <c r="AC116" i="1"/>
  <c r="AC84" i="1"/>
  <c r="AC97" i="1"/>
  <c r="AC146" i="1"/>
  <c r="AC167" i="1"/>
  <c r="AC215" i="1"/>
  <c r="AC236" i="1"/>
  <c r="AC227" i="1"/>
  <c r="AC250" i="1"/>
  <c r="AC274" i="1"/>
  <c r="AC303" i="1"/>
  <c r="AC325" i="1"/>
  <c r="AC348" i="1"/>
  <c r="AC400" i="1"/>
  <c r="AC418" i="1"/>
  <c r="AC429" i="1"/>
  <c r="AC472" i="1"/>
  <c r="AC471" i="1"/>
  <c r="AC18" i="1"/>
  <c r="AC49" i="1"/>
  <c r="AC60" i="1"/>
  <c r="AC92" i="1"/>
  <c r="AC165" i="1"/>
  <c r="AC229" i="1"/>
  <c r="AC276" i="1"/>
  <c r="AC297" i="1"/>
  <c r="AC318" i="1"/>
  <c r="AC351" i="1"/>
  <c r="AC371" i="1"/>
  <c r="AC410" i="1"/>
  <c r="AC420" i="1"/>
  <c r="AC456" i="1"/>
  <c r="AC462" i="1"/>
  <c r="AC204" i="1"/>
  <c r="AC316" i="1"/>
  <c r="G18" i="4"/>
  <c r="G8" i="5"/>
  <c r="G10" i="5"/>
  <c r="G25" i="5"/>
  <c r="G3" i="5"/>
  <c r="H4" i="5"/>
  <c r="I4" i="5"/>
  <c r="K4" i="5"/>
  <c r="J4" i="5"/>
  <c r="K26" i="5"/>
  <c r="I26" i="5"/>
  <c r="H26" i="5"/>
  <c r="J26" i="5"/>
  <c r="G9" i="5"/>
  <c r="L11" i="5"/>
  <c r="M11" i="5"/>
  <c r="H26" i="4"/>
  <c r="I8" i="3"/>
  <c r="H27" i="4"/>
  <c r="K27" i="4"/>
  <c r="J22" i="3"/>
  <c r="J28" i="3"/>
  <c r="J8" i="3"/>
  <c r="K8" i="3"/>
  <c r="K27" i="3"/>
  <c r="I26" i="4"/>
  <c r="K26" i="4"/>
  <c r="I27" i="3"/>
  <c r="J27" i="3"/>
  <c r="J27" i="4"/>
  <c r="K7" i="3"/>
  <c r="J2" i="4"/>
  <c r="K8" i="4"/>
  <c r="I2" i="4"/>
  <c r="J8" i="2"/>
  <c r="J10" i="3"/>
  <c r="K13" i="4"/>
  <c r="H13" i="4"/>
  <c r="H2" i="4"/>
  <c r="J13" i="4"/>
  <c r="K18" i="3"/>
  <c r="H28" i="3"/>
  <c r="K8" i="2"/>
  <c r="K2" i="3"/>
  <c r="H21" i="4"/>
  <c r="K21" i="4"/>
  <c r="J21" i="4"/>
  <c r="K21" i="3"/>
  <c r="J12" i="4"/>
  <c r="H8" i="2"/>
  <c r="J8" i="4"/>
  <c r="H8" i="4"/>
  <c r="H22" i="3"/>
  <c r="H11" i="3"/>
  <c r="I28" i="3"/>
  <c r="K22" i="3"/>
  <c r="K10" i="3"/>
  <c r="H18" i="3"/>
  <c r="I10" i="3"/>
  <c r="J23" i="3"/>
  <c r="G6" i="4"/>
  <c r="G7" i="4"/>
  <c r="G17" i="3"/>
  <c r="K23" i="4"/>
  <c r="H23" i="4"/>
  <c r="I2" i="3"/>
  <c r="G16" i="3"/>
  <c r="G14" i="4"/>
  <c r="G29" i="3"/>
  <c r="H17" i="4"/>
  <c r="K12" i="4"/>
  <c r="I17" i="4"/>
  <c r="K11" i="3"/>
  <c r="H12" i="4"/>
  <c r="I7" i="3"/>
  <c r="K23" i="3"/>
  <c r="G20" i="3"/>
  <c r="G13" i="3"/>
  <c r="G15" i="3"/>
  <c r="G30" i="3"/>
  <c r="G3" i="2"/>
  <c r="G4" i="4"/>
  <c r="G22" i="4"/>
  <c r="K17" i="4"/>
  <c r="J18" i="3"/>
  <c r="I11" i="3"/>
  <c r="I23" i="3"/>
  <c r="J21" i="3"/>
  <c r="I5" i="2"/>
  <c r="H7" i="2"/>
  <c r="K7" i="2"/>
  <c r="G16" i="4"/>
  <c r="G19" i="4"/>
  <c r="G3" i="4"/>
  <c r="G2" i="2"/>
  <c r="G5" i="3"/>
  <c r="G12" i="3"/>
  <c r="G9" i="4"/>
  <c r="G19" i="3"/>
  <c r="J23" i="4"/>
  <c r="G9" i="3"/>
  <c r="K5" i="2"/>
  <c r="J7" i="2"/>
  <c r="G25" i="3"/>
  <c r="G26" i="3"/>
  <c r="G20" i="4"/>
  <c r="G31" i="3"/>
  <c r="G25" i="4"/>
  <c r="G24" i="3"/>
  <c r="G14" i="3"/>
  <c r="G10" i="4"/>
  <c r="G24" i="4"/>
  <c r="G3" i="3"/>
  <c r="G11" i="4"/>
  <c r="G4" i="3"/>
  <c r="G4" i="2"/>
  <c r="G6" i="2"/>
  <c r="H2" i="3"/>
  <c r="I21" i="3"/>
  <c r="G6" i="3"/>
  <c r="J7" i="3"/>
  <c r="G9" i="2"/>
  <c r="G5" i="4"/>
  <c r="G32" i="3"/>
  <c r="G15" i="4"/>
  <c r="J5" i="2"/>
  <c r="G33" i="3"/>
  <c r="U9" i="1"/>
  <c r="T9" i="1"/>
  <c r="V9" i="1"/>
  <c r="S9" i="1"/>
  <c r="T40" i="1"/>
  <c r="S40" i="1"/>
  <c r="V40" i="1"/>
  <c r="U40" i="1"/>
  <c r="V89" i="1"/>
  <c r="T89" i="1"/>
  <c r="U89" i="1"/>
  <c r="S89" i="1"/>
  <c r="V198" i="1"/>
  <c r="T198" i="1"/>
  <c r="U198" i="1"/>
  <c r="S198" i="1"/>
  <c r="U244" i="1"/>
  <c r="T244" i="1"/>
  <c r="V244" i="1"/>
  <c r="S244" i="1"/>
  <c r="V301" i="1"/>
  <c r="S301" i="1"/>
  <c r="U301" i="1"/>
  <c r="T301" i="1"/>
  <c r="T339" i="1"/>
  <c r="S339" i="1"/>
  <c r="V339" i="1"/>
  <c r="U339" i="1"/>
  <c r="T435" i="1"/>
  <c r="V435" i="1"/>
  <c r="U435" i="1"/>
  <c r="S435" i="1"/>
  <c r="T16" i="1"/>
  <c r="S16" i="1"/>
  <c r="V16" i="1"/>
  <c r="U16" i="1"/>
  <c r="S45" i="1"/>
  <c r="V45" i="1"/>
  <c r="U45" i="1"/>
  <c r="T45" i="1"/>
  <c r="S99" i="1"/>
  <c r="U99" i="1"/>
  <c r="T99" i="1"/>
  <c r="V99" i="1"/>
  <c r="V105" i="1"/>
  <c r="T105" i="1"/>
  <c r="U105" i="1"/>
  <c r="S105" i="1"/>
  <c r="V153" i="1"/>
  <c r="U153" i="1"/>
  <c r="T153" i="1"/>
  <c r="S153" i="1"/>
  <c r="V222" i="1"/>
  <c r="S222" i="1"/>
  <c r="U222" i="1"/>
  <c r="T222" i="1"/>
  <c r="T228" i="1"/>
  <c r="S228" i="1"/>
  <c r="V228" i="1"/>
  <c r="U228" i="1"/>
  <c r="T269" i="1"/>
  <c r="U269" i="1"/>
  <c r="S269" i="1"/>
  <c r="V269" i="1"/>
  <c r="S149" i="1"/>
  <c r="V149" i="1"/>
  <c r="U149" i="1"/>
  <c r="T149" i="1"/>
  <c r="T350" i="1"/>
  <c r="V350" i="1"/>
  <c r="U350" i="1"/>
  <c r="S350" i="1"/>
  <c r="U393" i="1"/>
  <c r="T393" i="1"/>
  <c r="V393" i="1"/>
  <c r="S393" i="1"/>
  <c r="U455" i="1"/>
  <c r="T455" i="1"/>
  <c r="V455" i="1"/>
  <c r="S455" i="1"/>
  <c r="T12" i="1"/>
  <c r="V12" i="1"/>
  <c r="U12" i="1"/>
  <c r="S12" i="1"/>
  <c r="V69" i="1"/>
  <c r="U69" i="1"/>
  <c r="T69" i="1"/>
  <c r="S69" i="1"/>
  <c r="V203" i="1"/>
  <c r="U203" i="1"/>
  <c r="T203" i="1"/>
  <c r="S203" i="1"/>
  <c r="T287" i="1"/>
  <c r="S287" i="1"/>
  <c r="V287" i="1"/>
  <c r="U287" i="1"/>
  <c r="S352" i="1"/>
  <c r="V352" i="1"/>
  <c r="U352" i="1"/>
  <c r="T352" i="1"/>
  <c r="U423" i="1"/>
  <c r="T423" i="1"/>
  <c r="V423" i="1"/>
  <c r="S423" i="1"/>
  <c r="V422" i="1"/>
  <c r="T422" i="1"/>
  <c r="S422" i="1"/>
  <c r="U422" i="1"/>
  <c r="T75" i="1"/>
  <c r="S75" i="1"/>
  <c r="V75" i="1"/>
  <c r="U75" i="1"/>
  <c r="T419" i="1"/>
  <c r="V419" i="1"/>
  <c r="U419" i="1"/>
  <c r="S419" i="1"/>
  <c r="U176" i="1"/>
  <c r="S176" i="1"/>
  <c r="V176" i="1"/>
  <c r="T176" i="1"/>
  <c r="S185" i="1"/>
  <c r="U185" i="1"/>
  <c r="T185" i="1"/>
  <c r="V185" i="1"/>
  <c r="U175" i="1"/>
  <c r="V175" i="1"/>
  <c r="T175" i="1"/>
  <c r="S175" i="1"/>
  <c r="V14" i="1"/>
  <c r="T14" i="1"/>
  <c r="U14" i="1"/>
  <c r="S14" i="1"/>
  <c r="T26" i="1"/>
  <c r="V26" i="1"/>
  <c r="U26" i="1"/>
  <c r="S26" i="1"/>
  <c r="V87" i="1"/>
  <c r="U87" i="1"/>
  <c r="S87" i="1"/>
  <c r="T87" i="1"/>
  <c r="V201" i="1"/>
  <c r="U201" i="1"/>
  <c r="T201" i="1"/>
  <c r="S201" i="1"/>
  <c r="S242" i="1"/>
  <c r="U242" i="1"/>
  <c r="T242" i="1"/>
  <c r="V242" i="1"/>
  <c r="V289" i="1"/>
  <c r="T289" i="1"/>
  <c r="S289" i="1"/>
  <c r="U289" i="1"/>
  <c r="T367" i="1"/>
  <c r="V367" i="1"/>
  <c r="U367" i="1"/>
  <c r="S367" i="1"/>
  <c r="V452" i="1"/>
  <c r="U452" i="1"/>
  <c r="S452" i="1"/>
  <c r="T452" i="1"/>
  <c r="V17" i="1"/>
  <c r="U17" i="1"/>
  <c r="T17" i="1"/>
  <c r="S17" i="1"/>
  <c r="T70" i="1"/>
  <c r="V70" i="1"/>
  <c r="U70" i="1"/>
  <c r="S70" i="1"/>
  <c r="S35" i="1"/>
  <c r="V35" i="1"/>
  <c r="U35" i="1"/>
  <c r="T35" i="1"/>
  <c r="V83" i="1"/>
  <c r="T83" i="1"/>
  <c r="U83" i="1"/>
  <c r="S83" i="1"/>
  <c r="V147" i="1"/>
  <c r="T147" i="1"/>
  <c r="S147" i="1"/>
  <c r="U147" i="1"/>
  <c r="T235" i="1"/>
  <c r="S235" i="1"/>
  <c r="V235" i="1"/>
  <c r="U235" i="1"/>
  <c r="V239" i="1"/>
  <c r="U239" i="1"/>
  <c r="S239" i="1"/>
  <c r="T239" i="1"/>
  <c r="S305" i="1"/>
  <c r="U305" i="1"/>
  <c r="V305" i="1"/>
  <c r="T305" i="1"/>
  <c r="V332" i="1"/>
  <c r="U332" i="1"/>
  <c r="T332" i="1"/>
  <c r="S332" i="1"/>
  <c r="U390" i="1"/>
  <c r="V390" i="1"/>
  <c r="T390" i="1"/>
  <c r="S390" i="1"/>
  <c r="T479" i="1"/>
  <c r="S479" i="1"/>
  <c r="V479" i="1"/>
  <c r="U479" i="1"/>
  <c r="V78" i="1"/>
  <c r="U78" i="1"/>
  <c r="T78" i="1"/>
  <c r="S78" i="1"/>
  <c r="T55" i="1"/>
  <c r="S55" i="1"/>
  <c r="V55" i="1"/>
  <c r="U55" i="1"/>
  <c r="V210" i="1"/>
  <c r="U210" i="1"/>
  <c r="S210" i="1"/>
  <c r="T210" i="1"/>
  <c r="V267" i="1"/>
  <c r="U267" i="1"/>
  <c r="S267" i="1"/>
  <c r="T267" i="1"/>
  <c r="U327" i="1"/>
  <c r="S327" i="1"/>
  <c r="V327" i="1"/>
  <c r="T327" i="1"/>
  <c r="U395" i="1"/>
  <c r="T395" i="1"/>
  <c r="V395" i="1"/>
  <c r="S395" i="1"/>
  <c r="V447" i="1"/>
  <c r="T447" i="1"/>
  <c r="S447" i="1"/>
  <c r="U447" i="1"/>
  <c r="S46" i="1"/>
  <c r="U46" i="1"/>
  <c r="V46" i="1"/>
  <c r="T46" i="1"/>
  <c r="S426" i="1"/>
  <c r="V426" i="1"/>
  <c r="U426" i="1"/>
  <c r="T426" i="1"/>
  <c r="V177" i="1"/>
  <c r="U177" i="1"/>
  <c r="T177" i="1"/>
  <c r="S177" i="1"/>
  <c r="T186" i="1"/>
  <c r="S186" i="1"/>
  <c r="V186" i="1"/>
  <c r="U186" i="1"/>
  <c r="S8" i="1"/>
  <c r="V8" i="1"/>
  <c r="U8" i="1"/>
  <c r="T8" i="1"/>
  <c r="U37" i="1"/>
  <c r="V37" i="1"/>
  <c r="T37" i="1"/>
  <c r="S37" i="1"/>
  <c r="V56" i="1"/>
  <c r="S56" i="1"/>
  <c r="U56" i="1"/>
  <c r="T56" i="1"/>
  <c r="S57" i="1"/>
  <c r="V57" i="1"/>
  <c r="U57" i="1"/>
  <c r="T57" i="1"/>
  <c r="T129" i="1"/>
  <c r="V129" i="1"/>
  <c r="U129" i="1"/>
  <c r="S129" i="1"/>
  <c r="S159" i="1"/>
  <c r="V159" i="1"/>
  <c r="U159" i="1"/>
  <c r="T159" i="1"/>
  <c r="U206" i="1"/>
  <c r="S206" i="1"/>
  <c r="V206" i="1"/>
  <c r="T206" i="1"/>
  <c r="T234" i="1"/>
  <c r="V234" i="1"/>
  <c r="U234" i="1"/>
  <c r="S234" i="1"/>
  <c r="U252" i="1"/>
  <c r="S252" i="1"/>
  <c r="V252" i="1"/>
  <c r="T252" i="1"/>
  <c r="V282" i="1"/>
  <c r="S282" i="1"/>
  <c r="U282" i="1"/>
  <c r="T282" i="1"/>
  <c r="S309" i="1"/>
  <c r="V309" i="1"/>
  <c r="U309" i="1"/>
  <c r="T309" i="1"/>
  <c r="U319" i="1"/>
  <c r="S319" i="1"/>
  <c r="V319" i="1"/>
  <c r="T319" i="1"/>
  <c r="S388" i="1"/>
  <c r="U388" i="1"/>
  <c r="T388" i="1"/>
  <c r="V388" i="1"/>
  <c r="V437" i="1"/>
  <c r="T437" i="1"/>
  <c r="S437" i="1"/>
  <c r="U437" i="1"/>
  <c r="V465" i="1"/>
  <c r="U465" i="1"/>
  <c r="S465" i="1"/>
  <c r="T465" i="1"/>
  <c r="U449" i="1"/>
  <c r="T449" i="1"/>
  <c r="V449" i="1"/>
  <c r="S449" i="1"/>
  <c r="T43" i="1"/>
  <c r="S43" i="1"/>
  <c r="U43" i="1"/>
  <c r="V43" i="1"/>
  <c r="T81" i="1"/>
  <c r="S81" i="1"/>
  <c r="V81" i="1"/>
  <c r="U81" i="1"/>
  <c r="U25" i="1"/>
  <c r="V25" i="1"/>
  <c r="T25" i="1"/>
  <c r="S25" i="1"/>
  <c r="V61" i="1"/>
  <c r="S61" i="1"/>
  <c r="U61" i="1"/>
  <c r="T61" i="1"/>
  <c r="V116" i="1"/>
  <c r="U116" i="1"/>
  <c r="T116" i="1"/>
  <c r="S116" i="1"/>
  <c r="T84" i="1"/>
  <c r="S84" i="1"/>
  <c r="U84" i="1"/>
  <c r="V84" i="1"/>
  <c r="V97" i="1"/>
  <c r="U97" i="1"/>
  <c r="S97" i="1"/>
  <c r="T97" i="1"/>
  <c r="U146" i="1"/>
  <c r="T146" i="1"/>
  <c r="V146" i="1"/>
  <c r="S146" i="1"/>
  <c r="V167" i="1"/>
  <c r="U167" i="1"/>
  <c r="T167" i="1"/>
  <c r="S167" i="1"/>
  <c r="U215" i="1"/>
  <c r="V215" i="1"/>
  <c r="S215" i="1"/>
  <c r="T215" i="1"/>
  <c r="T236" i="1"/>
  <c r="V236" i="1"/>
  <c r="U236" i="1"/>
  <c r="S236" i="1"/>
  <c r="U219" i="1"/>
  <c r="S219" i="1"/>
  <c r="T219" i="1"/>
  <c r="V219" i="1"/>
  <c r="V255" i="1"/>
  <c r="T255" i="1"/>
  <c r="S255" i="1"/>
  <c r="U255" i="1"/>
  <c r="T265" i="1"/>
  <c r="V265" i="1"/>
  <c r="U265" i="1"/>
  <c r="S265" i="1"/>
  <c r="S294" i="1"/>
  <c r="V294" i="1"/>
  <c r="U294" i="1"/>
  <c r="T294" i="1"/>
  <c r="T306" i="1"/>
  <c r="U306" i="1"/>
  <c r="V306" i="1"/>
  <c r="S306" i="1"/>
  <c r="T338" i="1"/>
  <c r="S338" i="1"/>
  <c r="V338" i="1"/>
  <c r="U338" i="1"/>
  <c r="V396" i="1"/>
  <c r="U396" i="1"/>
  <c r="T396" i="1"/>
  <c r="S396" i="1"/>
  <c r="T364" i="1"/>
  <c r="S364" i="1"/>
  <c r="V364" i="1"/>
  <c r="U364" i="1"/>
  <c r="V436" i="1"/>
  <c r="T436" i="1"/>
  <c r="S436" i="1"/>
  <c r="U436" i="1"/>
  <c r="T480" i="1"/>
  <c r="S480" i="1"/>
  <c r="V480" i="1"/>
  <c r="U480" i="1"/>
  <c r="T450" i="1"/>
  <c r="U450" i="1"/>
  <c r="S450" i="1"/>
  <c r="V450" i="1"/>
  <c r="T4" i="1"/>
  <c r="V4" i="1"/>
  <c r="U4" i="1"/>
  <c r="S4" i="1"/>
  <c r="T52" i="1"/>
  <c r="S52" i="1"/>
  <c r="V52" i="1"/>
  <c r="U52" i="1"/>
  <c r="T29" i="1"/>
  <c r="V29" i="1"/>
  <c r="U29" i="1"/>
  <c r="S29" i="1"/>
  <c r="U124" i="1"/>
  <c r="T124" i="1"/>
  <c r="V124" i="1"/>
  <c r="S124" i="1"/>
  <c r="T162" i="1"/>
  <c r="S162" i="1"/>
  <c r="V162" i="1"/>
  <c r="U162" i="1"/>
  <c r="U231" i="1"/>
  <c r="S231" i="1"/>
  <c r="V231" i="1"/>
  <c r="T231" i="1"/>
  <c r="V299" i="1"/>
  <c r="U299" i="1"/>
  <c r="S299" i="1"/>
  <c r="T299" i="1"/>
  <c r="V320" i="1"/>
  <c r="U320" i="1"/>
  <c r="T320" i="1"/>
  <c r="S320" i="1"/>
  <c r="U331" i="1"/>
  <c r="T331" i="1"/>
  <c r="V331" i="1"/>
  <c r="S331" i="1"/>
  <c r="T360" i="1"/>
  <c r="S360" i="1"/>
  <c r="V360" i="1"/>
  <c r="U360" i="1"/>
  <c r="U384" i="1"/>
  <c r="T384" i="1"/>
  <c r="V384" i="1"/>
  <c r="S384" i="1"/>
  <c r="V427" i="1"/>
  <c r="U427" i="1"/>
  <c r="S427" i="1"/>
  <c r="T427" i="1"/>
  <c r="T453" i="1"/>
  <c r="S453" i="1"/>
  <c r="V453" i="1"/>
  <c r="U453" i="1"/>
  <c r="T473" i="1"/>
  <c r="S473" i="1"/>
  <c r="V473" i="1"/>
  <c r="U473" i="1"/>
  <c r="S86" i="1"/>
  <c r="U86" i="1"/>
  <c r="T86" i="1"/>
  <c r="V86" i="1"/>
  <c r="S308" i="1"/>
  <c r="V308" i="1"/>
  <c r="U308" i="1"/>
  <c r="T308" i="1"/>
  <c r="S469" i="1"/>
  <c r="T469" i="1"/>
  <c r="V469" i="1"/>
  <c r="U469" i="1"/>
  <c r="T178" i="1"/>
  <c r="S178" i="1"/>
  <c r="V178" i="1"/>
  <c r="U178" i="1"/>
  <c r="S183" i="1"/>
  <c r="V183" i="1"/>
  <c r="U183" i="1"/>
  <c r="T183" i="1"/>
  <c r="V187" i="1"/>
  <c r="U187" i="1"/>
  <c r="T187" i="1"/>
  <c r="S187" i="1"/>
  <c r="S191" i="1"/>
  <c r="U191" i="1"/>
  <c r="V191" i="1"/>
  <c r="T191" i="1"/>
  <c r="T10" i="1"/>
  <c r="V10" i="1"/>
  <c r="S10" i="1"/>
  <c r="U10" i="1"/>
  <c r="T32" i="1"/>
  <c r="S32" i="1"/>
  <c r="V32" i="1"/>
  <c r="U32" i="1"/>
  <c r="T156" i="1"/>
  <c r="S156" i="1"/>
  <c r="U156" i="1"/>
  <c r="V156" i="1"/>
  <c r="S221" i="1"/>
  <c r="V221" i="1"/>
  <c r="U221" i="1"/>
  <c r="T221" i="1"/>
  <c r="T264" i="1"/>
  <c r="S264" i="1"/>
  <c r="V264" i="1"/>
  <c r="U264" i="1"/>
  <c r="U322" i="1"/>
  <c r="S322" i="1"/>
  <c r="V322" i="1"/>
  <c r="T322" i="1"/>
  <c r="V406" i="1"/>
  <c r="S406" i="1"/>
  <c r="U406" i="1"/>
  <c r="T406" i="1"/>
  <c r="U459" i="1"/>
  <c r="T459" i="1"/>
  <c r="V459" i="1"/>
  <c r="S459" i="1"/>
  <c r="S74" i="1"/>
  <c r="V74" i="1"/>
  <c r="U74" i="1"/>
  <c r="T74" i="1"/>
  <c r="T82" i="1"/>
  <c r="V82" i="1"/>
  <c r="U82" i="1"/>
  <c r="S82" i="1"/>
  <c r="T94" i="1"/>
  <c r="S94" i="1"/>
  <c r="V94" i="1"/>
  <c r="U94" i="1"/>
  <c r="S148" i="1"/>
  <c r="V148" i="1"/>
  <c r="U148" i="1"/>
  <c r="T148" i="1"/>
  <c r="S214" i="1"/>
  <c r="U214" i="1"/>
  <c r="V214" i="1"/>
  <c r="T214" i="1"/>
  <c r="T224" i="1"/>
  <c r="S224" i="1"/>
  <c r="V224" i="1"/>
  <c r="U224" i="1"/>
  <c r="V302" i="1"/>
  <c r="U302" i="1"/>
  <c r="S302" i="1"/>
  <c r="T302" i="1"/>
  <c r="U337" i="1"/>
  <c r="T337" i="1"/>
  <c r="V337" i="1"/>
  <c r="S337" i="1"/>
  <c r="V409" i="1"/>
  <c r="S409" i="1"/>
  <c r="U409" i="1"/>
  <c r="T409" i="1"/>
  <c r="S207" i="1"/>
  <c r="V207" i="1"/>
  <c r="U207" i="1"/>
  <c r="T207" i="1"/>
  <c r="T468" i="1"/>
  <c r="U468" i="1"/>
  <c r="S468" i="1"/>
  <c r="V468" i="1"/>
  <c r="V62" i="1"/>
  <c r="T62" i="1"/>
  <c r="S62" i="1"/>
  <c r="U62" i="1"/>
  <c r="T104" i="1"/>
  <c r="U104" i="1"/>
  <c r="V104" i="1"/>
  <c r="S104" i="1"/>
  <c r="V245" i="1"/>
  <c r="U245" i="1"/>
  <c r="S245" i="1"/>
  <c r="T245" i="1"/>
  <c r="T280" i="1"/>
  <c r="V280" i="1"/>
  <c r="U280" i="1"/>
  <c r="S280" i="1"/>
  <c r="T48" i="1"/>
  <c r="V48" i="1"/>
  <c r="U48" i="1"/>
  <c r="S48" i="1"/>
  <c r="S411" i="1"/>
  <c r="V411" i="1"/>
  <c r="U411" i="1"/>
  <c r="T411" i="1"/>
  <c r="T451" i="1"/>
  <c r="V451" i="1"/>
  <c r="U451" i="1"/>
  <c r="S451" i="1"/>
  <c r="U279" i="1"/>
  <c r="V279" i="1"/>
  <c r="T279" i="1"/>
  <c r="S279" i="1"/>
  <c r="V171" i="1"/>
  <c r="U171" i="1"/>
  <c r="T171" i="1"/>
  <c r="S171" i="1"/>
  <c r="T180" i="1"/>
  <c r="V180" i="1"/>
  <c r="S180" i="1"/>
  <c r="U180" i="1"/>
  <c r="S189" i="1"/>
  <c r="U189" i="1"/>
  <c r="T189" i="1"/>
  <c r="V189" i="1"/>
  <c r="U5" i="1"/>
  <c r="T5" i="1"/>
  <c r="V5" i="1"/>
  <c r="S5" i="1"/>
  <c r="V42" i="1"/>
  <c r="T42" i="1"/>
  <c r="U42" i="1"/>
  <c r="S42" i="1"/>
  <c r="V157" i="1"/>
  <c r="U157" i="1"/>
  <c r="T157" i="1"/>
  <c r="S157" i="1"/>
  <c r="V237" i="1"/>
  <c r="T237" i="1"/>
  <c r="S237" i="1"/>
  <c r="U237" i="1"/>
  <c r="V275" i="1"/>
  <c r="T275" i="1"/>
  <c r="S275" i="1"/>
  <c r="U275" i="1"/>
  <c r="V315" i="1"/>
  <c r="T315" i="1"/>
  <c r="U315" i="1"/>
  <c r="S315" i="1"/>
  <c r="T377" i="1"/>
  <c r="V377" i="1"/>
  <c r="U377" i="1"/>
  <c r="S377" i="1"/>
  <c r="S460" i="1"/>
  <c r="V460" i="1"/>
  <c r="U460" i="1"/>
  <c r="T460" i="1"/>
  <c r="V27" i="1"/>
  <c r="U27" i="1"/>
  <c r="S27" i="1"/>
  <c r="T27" i="1"/>
  <c r="V91" i="1"/>
  <c r="U91" i="1"/>
  <c r="S91" i="1"/>
  <c r="T91" i="1"/>
  <c r="U98" i="1"/>
  <c r="S98" i="1"/>
  <c r="V98" i="1"/>
  <c r="T98" i="1"/>
  <c r="V150" i="1"/>
  <c r="U150" i="1"/>
  <c r="T150" i="1"/>
  <c r="S150" i="1"/>
  <c r="V232" i="1"/>
  <c r="T232" i="1"/>
  <c r="U232" i="1"/>
  <c r="S232" i="1"/>
  <c r="S208" i="1"/>
  <c r="U208" i="1"/>
  <c r="V208" i="1"/>
  <c r="T208" i="1"/>
  <c r="T266" i="1"/>
  <c r="S266" i="1"/>
  <c r="V266" i="1"/>
  <c r="U266" i="1"/>
  <c r="V296" i="1"/>
  <c r="U296" i="1"/>
  <c r="T296" i="1"/>
  <c r="S296" i="1"/>
  <c r="V358" i="1"/>
  <c r="U358" i="1"/>
  <c r="T358" i="1"/>
  <c r="S358" i="1"/>
  <c r="V373" i="1"/>
  <c r="S373" i="1"/>
  <c r="U373" i="1"/>
  <c r="T373" i="1"/>
  <c r="V440" i="1"/>
  <c r="S440" i="1"/>
  <c r="U440" i="1"/>
  <c r="T440" i="1"/>
  <c r="T484" i="1"/>
  <c r="S484" i="1"/>
  <c r="V484" i="1"/>
  <c r="U484" i="1"/>
  <c r="T28" i="1"/>
  <c r="V28" i="1"/>
  <c r="U28" i="1"/>
  <c r="S28" i="1"/>
  <c r="T130" i="1"/>
  <c r="V130" i="1"/>
  <c r="U130" i="1"/>
  <c r="S130" i="1"/>
  <c r="V261" i="1"/>
  <c r="S261" i="1"/>
  <c r="U261" i="1"/>
  <c r="T261" i="1"/>
  <c r="T314" i="1"/>
  <c r="S314" i="1"/>
  <c r="V314" i="1"/>
  <c r="U314" i="1"/>
  <c r="T361" i="1"/>
  <c r="U361" i="1"/>
  <c r="S361" i="1"/>
  <c r="V361" i="1"/>
  <c r="T421" i="1"/>
  <c r="V421" i="1"/>
  <c r="U421" i="1"/>
  <c r="S421" i="1"/>
  <c r="V464" i="1"/>
  <c r="T464" i="1"/>
  <c r="S464" i="1"/>
  <c r="U464" i="1"/>
  <c r="U286" i="1"/>
  <c r="T286" i="1"/>
  <c r="V286" i="1"/>
  <c r="S286" i="1"/>
  <c r="V172" i="1"/>
  <c r="T172" i="1"/>
  <c r="S172" i="1"/>
  <c r="U172" i="1"/>
  <c r="V181" i="1"/>
  <c r="T181" i="1"/>
  <c r="S181" i="1"/>
  <c r="U181" i="1"/>
  <c r="S190" i="1"/>
  <c r="V190" i="1"/>
  <c r="U190" i="1"/>
  <c r="T190" i="1"/>
  <c r="T19" i="1"/>
  <c r="S19" i="1"/>
  <c r="V19" i="1"/>
  <c r="U19" i="1"/>
  <c r="V39" i="1"/>
  <c r="U39" i="1"/>
  <c r="T39" i="1"/>
  <c r="S39" i="1"/>
  <c r="U58" i="1"/>
  <c r="T58" i="1"/>
  <c r="V58" i="1"/>
  <c r="S58" i="1"/>
  <c r="S95" i="1"/>
  <c r="U95" i="1"/>
  <c r="T95" i="1"/>
  <c r="V95" i="1"/>
  <c r="T119" i="1"/>
  <c r="S119" i="1"/>
  <c r="V119" i="1"/>
  <c r="U119" i="1"/>
  <c r="V199" i="1"/>
  <c r="U199" i="1"/>
  <c r="T199" i="1"/>
  <c r="S199" i="1"/>
  <c r="V202" i="1"/>
  <c r="U202" i="1"/>
  <c r="T202" i="1"/>
  <c r="S202" i="1"/>
  <c r="V217" i="1"/>
  <c r="S217" i="1"/>
  <c r="U217" i="1"/>
  <c r="T217" i="1"/>
  <c r="S271" i="1"/>
  <c r="V271" i="1"/>
  <c r="U271" i="1"/>
  <c r="T271" i="1"/>
  <c r="V263" i="1"/>
  <c r="T263" i="1"/>
  <c r="U263" i="1"/>
  <c r="S263" i="1"/>
  <c r="V290" i="1"/>
  <c r="U290" i="1"/>
  <c r="T290" i="1"/>
  <c r="S290" i="1"/>
  <c r="S333" i="1"/>
  <c r="V333" i="1"/>
  <c r="U333" i="1"/>
  <c r="T333" i="1"/>
  <c r="S412" i="1"/>
  <c r="U412" i="1"/>
  <c r="T412" i="1"/>
  <c r="V412" i="1"/>
  <c r="U417" i="1"/>
  <c r="V417" i="1"/>
  <c r="T417" i="1"/>
  <c r="S417" i="1"/>
  <c r="V458" i="1"/>
  <c r="U458" i="1"/>
  <c r="T458" i="1"/>
  <c r="S458" i="1"/>
  <c r="T482" i="1"/>
  <c r="S482" i="1"/>
  <c r="V482" i="1"/>
  <c r="U482" i="1"/>
  <c r="T73" i="1"/>
  <c r="S73" i="1"/>
  <c r="V73" i="1"/>
  <c r="U73" i="1"/>
  <c r="U68" i="1"/>
  <c r="T68" i="1"/>
  <c r="V68" i="1"/>
  <c r="S68" i="1"/>
  <c r="V79" i="1"/>
  <c r="U79" i="1"/>
  <c r="T79" i="1"/>
  <c r="S79" i="1"/>
  <c r="V107" i="1"/>
  <c r="U107" i="1"/>
  <c r="T107" i="1"/>
  <c r="S107" i="1"/>
  <c r="V132" i="1"/>
  <c r="U132" i="1"/>
  <c r="T132" i="1"/>
  <c r="S132" i="1"/>
  <c r="T85" i="1"/>
  <c r="V85" i="1"/>
  <c r="U85" i="1"/>
  <c r="S85" i="1"/>
  <c r="T93" i="1"/>
  <c r="S93" i="1"/>
  <c r="V93" i="1"/>
  <c r="U93" i="1"/>
  <c r="T151" i="1"/>
  <c r="V151" i="1"/>
  <c r="U151" i="1"/>
  <c r="S151" i="1"/>
  <c r="V200" i="1"/>
  <c r="U200" i="1"/>
  <c r="T200" i="1"/>
  <c r="S200" i="1"/>
  <c r="T220" i="1"/>
  <c r="S220" i="1"/>
  <c r="V220" i="1"/>
  <c r="U220" i="1"/>
  <c r="S225" i="1"/>
  <c r="V225" i="1"/>
  <c r="U225" i="1"/>
  <c r="T225" i="1"/>
  <c r="T227" i="1"/>
  <c r="V227" i="1"/>
  <c r="U227" i="1"/>
  <c r="S227" i="1"/>
  <c r="V250" i="1"/>
  <c r="T250" i="1"/>
  <c r="S250" i="1"/>
  <c r="U250" i="1"/>
  <c r="V274" i="1"/>
  <c r="T274" i="1"/>
  <c r="S274" i="1"/>
  <c r="U274" i="1"/>
  <c r="V303" i="1"/>
  <c r="T303" i="1"/>
  <c r="S303" i="1"/>
  <c r="U303" i="1"/>
  <c r="T325" i="1"/>
  <c r="U325" i="1"/>
  <c r="V325" i="1"/>
  <c r="S325" i="1"/>
  <c r="S348" i="1"/>
  <c r="V348" i="1"/>
  <c r="U348" i="1"/>
  <c r="T348" i="1"/>
  <c r="T400" i="1"/>
  <c r="S400" i="1"/>
  <c r="V400" i="1"/>
  <c r="U400" i="1"/>
  <c r="T418" i="1"/>
  <c r="V418" i="1"/>
  <c r="U418" i="1"/>
  <c r="S418" i="1"/>
  <c r="T429" i="1"/>
  <c r="V429" i="1"/>
  <c r="S429" i="1"/>
  <c r="U429" i="1"/>
  <c r="S472" i="1"/>
  <c r="U472" i="1"/>
  <c r="T472" i="1"/>
  <c r="V472" i="1"/>
  <c r="U471" i="1"/>
  <c r="T471" i="1"/>
  <c r="V471" i="1"/>
  <c r="S471" i="1"/>
  <c r="V18" i="1"/>
  <c r="U18" i="1"/>
  <c r="T18" i="1"/>
  <c r="S18" i="1"/>
  <c r="T49" i="1"/>
  <c r="U49" i="1"/>
  <c r="V49" i="1"/>
  <c r="S49" i="1"/>
  <c r="T60" i="1"/>
  <c r="S60" i="1"/>
  <c r="V60" i="1"/>
  <c r="U60" i="1"/>
  <c r="V92" i="1"/>
  <c r="T92" i="1"/>
  <c r="U92" i="1"/>
  <c r="S92" i="1"/>
  <c r="S165" i="1"/>
  <c r="V165" i="1"/>
  <c r="U165" i="1"/>
  <c r="T165" i="1"/>
  <c r="T229" i="1"/>
  <c r="V229" i="1"/>
  <c r="U229" i="1"/>
  <c r="S229" i="1"/>
  <c r="V276" i="1"/>
  <c r="T276" i="1"/>
  <c r="U276" i="1"/>
  <c r="S276" i="1"/>
  <c r="T297" i="1"/>
  <c r="S297" i="1"/>
  <c r="V297" i="1"/>
  <c r="U297" i="1"/>
  <c r="T318" i="1"/>
  <c r="S318" i="1"/>
  <c r="V318" i="1"/>
  <c r="U318" i="1"/>
  <c r="V351" i="1"/>
  <c r="T351" i="1"/>
  <c r="S351" i="1"/>
  <c r="U351" i="1"/>
  <c r="V371" i="1"/>
  <c r="U371" i="1"/>
  <c r="S371" i="1"/>
  <c r="T371" i="1"/>
  <c r="T410" i="1"/>
  <c r="S410" i="1"/>
  <c r="V410" i="1"/>
  <c r="U410" i="1"/>
  <c r="V420" i="1"/>
  <c r="T420" i="1"/>
  <c r="U420" i="1"/>
  <c r="S420" i="1"/>
  <c r="V456" i="1"/>
  <c r="U456" i="1"/>
  <c r="T456" i="1"/>
  <c r="S456" i="1"/>
  <c r="U462" i="1"/>
  <c r="T462" i="1"/>
  <c r="V462" i="1"/>
  <c r="S462" i="1"/>
  <c r="V204" i="1"/>
  <c r="T204" i="1"/>
  <c r="S204" i="1"/>
  <c r="U204" i="1"/>
  <c r="T316" i="1"/>
  <c r="S316" i="1"/>
  <c r="V316" i="1"/>
  <c r="U316" i="1"/>
  <c r="S170" i="1"/>
  <c r="V170" i="1"/>
  <c r="U170" i="1"/>
  <c r="T170" i="1"/>
  <c r="T173" i="1"/>
  <c r="S173" i="1"/>
  <c r="U173" i="1"/>
  <c r="V173" i="1"/>
  <c r="V179" i="1"/>
  <c r="U179" i="1"/>
  <c r="T179" i="1"/>
  <c r="S179" i="1"/>
  <c r="T184" i="1"/>
  <c r="U184" i="1"/>
  <c r="S184" i="1"/>
  <c r="V184" i="1"/>
  <c r="V188" i="1"/>
  <c r="T188" i="1"/>
  <c r="S188" i="1"/>
  <c r="U188" i="1"/>
  <c r="T192" i="1"/>
  <c r="U192" i="1"/>
  <c r="V192" i="1"/>
  <c r="S192" i="1"/>
  <c r="U6" i="2" l="1"/>
  <c r="R6" i="2"/>
  <c r="U9" i="2"/>
  <c r="R9" i="2"/>
  <c r="U4" i="2"/>
  <c r="R4" i="2"/>
  <c r="R3" i="2"/>
  <c r="U3" i="2"/>
  <c r="U2" i="2"/>
  <c r="R2" i="2"/>
  <c r="R32" i="3"/>
  <c r="U32" i="3"/>
  <c r="R6" i="3"/>
  <c r="U6" i="3"/>
  <c r="R30" i="3"/>
  <c r="U30" i="3"/>
  <c r="R31" i="3"/>
  <c r="U31" i="3"/>
  <c r="R19" i="3"/>
  <c r="U19" i="3"/>
  <c r="U15" i="3"/>
  <c r="R15" i="3"/>
  <c r="R16" i="3"/>
  <c r="U16" i="3"/>
  <c r="U17" i="3"/>
  <c r="R17" i="3"/>
  <c r="R14" i="3"/>
  <c r="U14" i="3"/>
  <c r="R13" i="3"/>
  <c r="U13" i="3"/>
  <c r="U25" i="3"/>
  <c r="R25" i="3"/>
  <c r="R5" i="3"/>
  <c r="U5" i="3"/>
  <c r="U33" i="3"/>
  <c r="R33" i="3"/>
  <c r="R4" i="3"/>
  <c r="U4" i="3"/>
  <c r="R3" i="3"/>
  <c r="U3" i="3"/>
  <c r="R24" i="3"/>
  <c r="U24" i="3"/>
  <c r="R26" i="3"/>
  <c r="U26" i="3"/>
  <c r="U9" i="3"/>
  <c r="R9" i="3"/>
  <c r="R12" i="3"/>
  <c r="U12" i="3"/>
  <c r="R20" i="3"/>
  <c r="U20" i="3"/>
  <c r="U29" i="3"/>
  <c r="R29" i="3"/>
  <c r="U25" i="4"/>
  <c r="R25" i="4"/>
  <c r="R14" i="4"/>
  <c r="U14" i="4"/>
  <c r="R10" i="4"/>
  <c r="U10" i="4"/>
  <c r="U11" i="4"/>
  <c r="R11" i="4"/>
  <c r="R20" i="4"/>
  <c r="U20" i="4"/>
  <c r="U9" i="4"/>
  <c r="R9" i="4"/>
  <c r="R3" i="4"/>
  <c r="U3" i="4"/>
  <c r="R4" i="4"/>
  <c r="U4" i="4"/>
  <c r="U7" i="4"/>
  <c r="R7" i="4"/>
  <c r="R24" i="4"/>
  <c r="U24" i="4"/>
  <c r="R16" i="4"/>
  <c r="U16" i="4"/>
  <c r="U5" i="4"/>
  <c r="R5" i="4"/>
  <c r="R22" i="4"/>
  <c r="U22" i="4"/>
  <c r="U15" i="4"/>
  <c r="R15" i="4"/>
  <c r="R19" i="4"/>
  <c r="U19" i="4"/>
  <c r="R6" i="4"/>
  <c r="U6" i="4"/>
  <c r="R18" i="4"/>
  <c r="U18" i="4"/>
  <c r="N10" i="5"/>
  <c r="U10" i="5"/>
  <c r="R10" i="5"/>
  <c r="N9" i="5"/>
  <c r="U9" i="5"/>
  <c r="R9" i="5"/>
  <c r="N3" i="5"/>
  <c r="U3" i="5"/>
  <c r="R3" i="5"/>
  <c r="K8" i="5"/>
  <c r="N8" i="5"/>
  <c r="R8" i="5"/>
  <c r="U8" i="5"/>
  <c r="G7" i="5"/>
  <c r="H7" i="5" s="1"/>
  <c r="N25" i="5"/>
  <c r="U25" i="5"/>
  <c r="R25" i="5"/>
  <c r="K4" i="4"/>
  <c r="G11" i="2"/>
  <c r="N9" i="2" s="1"/>
  <c r="K22" i="4"/>
  <c r="I15" i="3"/>
  <c r="J16" i="3"/>
  <c r="J17" i="3"/>
  <c r="J10" i="5"/>
  <c r="I7" i="4"/>
  <c r="I3" i="2"/>
  <c r="I20" i="3"/>
  <c r="J29" i="3"/>
  <c r="H6" i="4"/>
  <c r="K3" i="5"/>
  <c r="H18" i="4"/>
  <c r="G35" i="3"/>
  <c r="N31" i="3" s="1"/>
  <c r="I13" i="3"/>
  <c r="J30" i="3"/>
  <c r="K14" i="4"/>
  <c r="AC488" i="1"/>
  <c r="G29" i="4"/>
  <c r="S488" i="1"/>
  <c r="U488" i="1"/>
  <c r="V488" i="1"/>
  <c r="T488" i="1"/>
  <c r="G6" i="5"/>
  <c r="J18" i="4"/>
  <c r="I18" i="4"/>
  <c r="K18" i="4"/>
  <c r="I8" i="5"/>
  <c r="J8" i="5"/>
  <c r="H8" i="5"/>
  <c r="J3" i="5"/>
  <c r="K10" i="5"/>
  <c r="H3" i="5"/>
  <c r="I3" i="5"/>
  <c r="I10" i="5"/>
  <c r="H25" i="5"/>
  <c r="H10" i="5"/>
  <c r="J25" i="5"/>
  <c r="I25" i="5"/>
  <c r="K25" i="5"/>
  <c r="K9" i="5"/>
  <c r="J9" i="5"/>
  <c r="H9" i="5"/>
  <c r="I9" i="5"/>
  <c r="K2" i="5"/>
  <c r="G5" i="5"/>
  <c r="I2" i="5"/>
  <c r="J2" i="5"/>
  <c r="H2" i="5"/>
  <c r="H22" i="4"/>
  <c r="K6" i="4"/>
  <c r="K3" i="2"/>
  <c r="H3" i="2"/>
  <c r="K29" i="3"/>
  <c r="I6" i="4"/>
  <c r="K20" i="3"/>
  <c r="J6" i="4"/>
  <c r="H29" i="3"/>
  <c r="J20" i="3"/>
  <c r="H20" i="3"/>
  <c r="I29" i="3"/>
  <c r="I14" i="4"/>
  <c r="I16" i="3"/>
  <c r="J15" i="3"/>
  <c r="I22" i="4"/>
  <c r="K15" i="3"/>
  <c r="J22" i="4"/>
  <c r="I17" i="3"/>
  <c r="K17" i="3"/>
  <c r="J3" i="2"/>
  <c r="H17" i="3"/>
  <c r="H30" i="3"/>
  <c r="H15" i="3"/>
  <c r="K7" i="4"/>
  <c r="J13" i="3"/>
  <c r="I4" i="4"/>
  <c r="J7" i="4"/>
  <c r="H7" i="4"/>
  <c r="K30" i="3"/>
  <c r="J14" i="4"/>
  <c r="I30" i="3"/>
  <c r="K13" i="3"/>
  <c r="H14" i="4"/>
  <c r="H4" i="4"/>
  <c r="J4" i="4"/>
  <c r="H13" i="3"/>
  <c r="K16" i="3"/>
  <c r="H16" i="3"/>
  <c r="I14" i="3"/>
  <c r="J14" i="3"/>
  <c r="H14" i="3"/>
  <c r="K14" i="3"/>
  <c r="I3" i="4"/>
  <c r="H3" i="4"/>
  <c r="K3" i="4"/>
  <c r="J3" i="4"/>
  <c r="I15" i="4"/>
  <c r="K15" i="4"/>
  <c r="H15" i="4"/>
  <c r="J15" i="4"/>
  <c r="K24" i="4"/>
  <c r="I24" i="4"/>
  <c r="J24" i="4"/>
  <c r="H24" i="4"/>
  <c r="H25" i="4"/>
  <c r="J25" i="4"/>
  <c r="K25" i="4"/>
  <c r="I25" i="4"/>
  <c r="H25" i="3"/>
  <c r="I25" i="3"/>
  <c r="K25" i="3"/>
  <c r="J25" i="3"/>
  <c r="K5" i="3"/>
  <c r="I5" i="3"/>
  <c r="J5" i="3"/>
  <c r="H5" i="3"/>
  <c r="K16" i="4"/>
  <c r="H16" i="4"/>
  <c r="J16" i="4"/>
  <c r="I16" i="4"/>
  <c r="H33" i="3"/>
  <c r="K33" i="3"/>
  <c r="J33" i="3"/>
  <c r="I33" i="3"/>
  <c r="I11" i="4"/>
  <c r="H11" i="4"/>
  <c r="J11" i="4"/>
  <c r="K11" i="4"/>
  <c r="I20" i="4"/>
  <c r="J20" i="4"/>
  <c r="K20" i="4"/>
  <c r="H20" i="4"/>
  <c r="I6" i="2"/>
  <c r="K6" i="2"/>
  <c r="J6" i="2"/>
  <c r="H6" i="2"/>
  <c r="H9" i="2"/>
  <c r="I9" i="2"/>
  <c r="J9" i="2"/>
  <c r="K9" i="2"/>
  <c r="K4" i="2"/>
  <c r="J4" i="2"/>
  <c r="I4" i="2"/>
  <c r="H4" i="2"/>
  <c r="H32" i="3"/>
  <c r="I32" i="3"/>
  <c r="J32" i="3"/>
  <c r="K32" i="3"/>
  <c r="K4" i="3"/>
  <c r="I4" i="3"/>
  <c r="H4" i="3"/>
  <c r="J4" i="3"/>
  <c r="H10" i="4"/>
  <c r="I10" i="4"/>
  <c r="K10" i="4"/>
  <c r="J10" i="4"/>
  <c r="H31" i="3"/>
  <c r="K31" i="3"/>
  <c r="J31" i="3"/>
  <c r="I31" i="3"/>
  <c r="I19" i="3"/>
  <c r="K19" i="3"/>
  <c r="H19" i="3"/>
  <c r="J19" i="3"/>
  <c r="K2" i="2"/>
  <c r="H2" i="2"/>
  <c r="J2" i="2"/>
  <c r="I2" i="2"/>
  <c r="H6" i="3"/>
  <c r="I6" i="3"/>
  <c r="J6" i="3"/>
  <c r="K6" i="3"/>
  <c r="I9" i="4"/>
  <c r="K9" i="4"/>
  <c r="H9" i="4"/>
  <c r="J9" i="4"/>
  <c r="I5" i="4"/>
  <c r="H5" i="4"/>
  <c r="K5" i="4"/>
  <c r="J5" i="4"/>
  <c r="J3" i="3"/>
  <c r="H3" i="3"/>
  <c r="K3" i="3"/>
  <c r="I3" i="3"/>
  <c r="H24" i="3"/>
  <c r="I24" i="3"/>
  <c r="J24" i="3"/>
  <c r="K24" i="3"/>
  <c r="I26" i="3"/>
  <c r="H26" i="3"/>
  <c r="K26" i="3"/>
  <c r="J26" i="3"/>
  <c r="H9" i="3"/>
  <c r="I9" i="3"/>
  <c r="K9" i="3"/>
  <c r="J9" i="3"/>
  <c r="J12" i="3"/>
  <c r="H12" i="3"/>
  <c r="I12" i="3"/>
  <c r="K12" i="3"/>
  <c r="J19" i="4"/>
  <c r="H19" i="4"/>
  <c r="I19" i="4"/>
  <c r="K19" i="4"/>
  <c r="N3" i="2" l="1"/>
  <c r="N4" i="2"/>
  <c r="N13" i="3"/>
  <c r="N17" i="3"/>
  <c r="N16" i="3"/>
  <c r="N5" i="2"/>
  <c r="N7" i="2"/>
  <c r="N8" i="2"/>
  <c r="N9" i="3"/>
  <c r="N2" i="2"/>
  <c r="N6" i="2"/>
  <c r="N12" i="3"/>
  <c r="N25" i="3"/>
  <c r="N6" i="3"/>
  <c r="N4" i="3"/>
  <c r="N30" i="3"/>
  <c r="N3" i="3"/>
  <c r="N15" i="3"/>
  <c r="N20" i="3"/>
  <c r="N24" i="3"/>
  <c r="N33" i="3"/>
  <c r="N5" i="3"/>
  <c r="N10" i="3"/>
  <c r="N28" i="3"/>
  <c r="N7" i="3"/>
  <c r="N22" i="3"/>
  <c r="N23" i="3"/>
  <c r="N2" i="3"/>
  <c r="N18" i="3"/>
  <c r="N8" i="3"/>
  <c r="N21" i="3"/>
  <c r="N11" i="3"/>
  <c r="N27" i="3"/>
  <c r="N29" i="3"/>
  <c r="N26" i="3"/>
  <c r="N14" i="3"/>
  <c r="N19" i="3"/>
  <c r="N32" i="3"/>
  <c r="N13" i="4"/>
  <c r="N26" i="4"/>
  <c r="N21" i="4"/>
  <c r="N8" i="4"/>
  <c r="N23" i="4"/>
  <c r="N12" i="4"/>
  <c r="N17" i="4"/>
  <c r="N27" i="4"/>
  <c r="N2" i="4"/>
  <c r="N15" i="4"/>
  <c r="N16" i="4"/>
  <c r="N19" i="4"/>
  <c r="N3" i="4"/>
  <c r="N10" i="4"/>
  <c r="N6" i="4"/>
  <c r="N5" i="4"/>
  <c r="N4" i="4"/>
  <c r="N20" i="4"/>
  <c r="N11" i="4"/>
  <c r="N9" i="4"/>
  <c r="N14" i="4"/>
  <c r="N18" i="4"/>
  <c r="N22" i="4"/>
  <c r="N24" i="4"/>
  <c r="N7" i="4"/>
  <c r="N25" i="4"/>
  <c r="I7" i="5"/>
  <c r="K7" i="5"/>
  <c r="N6" i="5"/>
  <c r="R6" i="5"/>
  <c r="U6" i="5"/>
  <c r="N7" i="5"/>
  <c r="U7" i="5"/>
  <c r="R7" i="5"/>
  <c r="J7" i="5"/>
  <c r="U5" i="5"/>
  <c r="N5" i="5"/>
  <c r="R5" i="5"/>
  <c r="I6" i="5"/>
  <c r="J6" i="5"/>
  <c r="H6" i="5"/>
  <c r="K6" i="5"/>
  <c r="G11" i="5"/>
  <c r="I5" i="5"/>
  <c r="H5" i="5"/>
  <c r="J5" i="5"/>
  <c r="K5" i="5"/>
  <c r="N11" i="5" l="1"/>
  <c r="U11" i="5"/>
  <c r="R11" i="5"/>
  <c r="I11" i="5"/>
  <c r="H11" i="5"/>
  <c r="K11" i="5"/>
  <c r="J11" i="5"/>
</calcChain>
</file>

<file path=xl/sharedStrings.xml><?xml version="1.0" encoding="utf-8"?>
<sst xmlns="http://schemas.openxmlformats.org/spreadsheetml/2006/main" count="2378" uniqueCount="653">
  <si>
    <t>Parish</t>
  </si>
  <si>
    <t>Chagford</t>
  </si>
  <si>
    <t>South Tawton</t>
  </si>
  <si>
    <t>Belstone</t>
  </si>
  <si>
    <t>Okehampton</t>
  </si>
  <si>
    <t>Throwleigh</t>
  </si>
  <si>
    <t>Gidleigh</t>
  </si>
  <si>
    <t>Moretonhampstead</t>
  </si>
  <si>
    <t>Buckfastleigh</t>
  </si>
  <si>
    <t>Ilsington</t>
  </si>
  <si>
    <t>Frithelstock</t>
  </si>
  <si>
    <t>Stoke Gabriel</t>
  </si>
  <si>
    <t>Exeter</t>
  </si>
  <si>
    <t>Newton St Cyres</t>
  </si>
  <si>
    <t>Monkleigh</t>
  </si>
  <si>
    <t>Bovey Tracey</t>
  </si>
  <si>
    <t>Churston Ferrers</t>
  </si>
  <si>
    <t>Crediton</t>
  </si>
  <si>
    <t>Ashwater</t>
  </si>
  <si>
    <t>Cookbury</t>
  </si>
  <si>
    <t>Mary Tavy</t>
  </si>
  <si>
    <t>Holne</t>
  </si>
  <si>
    <t>Rattery</t>
  </si>
  <si>
    <t>Dartington</t>
  </si>
  <si>
    <t>Spreyton</t>
  </si>
  <si>
    <t>Winkleigh</t>
  </si>
  <si>
    <t>Totnes</t>
  </si>
  <si>
    <t>Kenton</t>
  </si>
  <si>
    <t>Staverton</t>
  </si>
  <si>
    <t>Broadhempston</t>
  </si>
  <si>
    <t>Hartland</t>
  </si>
  <si>
    <t>Drewsteignton</t>
  </si>
  <si>
    <t>Exeter St Pancras</t>
  </si>
  <si>
    <t>Kingskerswell</t>
  </si>
  <si>
    <t>Lustleigh</t>
  </si>
  <si>
    <t>Exminster</t>
  </si>
  <si>
    <t>Awliscombe</t>
  </si>
  <si>
    <t>East Ogwell</t>
  </si>
  <si>
    <t>West Teignmouth</t>
  </si>
  <si>
    <t>Ashburton</t>
  </si>
  <si>
    <t>Coffinswell</t>
  </si>
  <si>
    <t>Hittisleigh</t>
  </si>
  <si>
    <t>Berry Pomeroy</t>
  </si>
  <si>
    <t>East Allington</t>
  </si>
  <si>
    <t>Paignton</t>
  </si>
  <si>
    <t>Bickington</t>
  </si>
  <si>
    <t>South Brent</t>
  </si>
  <si>
    <t>Ashprington</t>
  </si>
  <si>
    <t>Teigngrace</t>
  </si>
  <si>
    <t>Ide</t>
  </si>
  <si>
    <t>Dunsford</t>
  </si>
  <si>
    <t>Zeal Monachorum</t>
  </si>
  <si>
    <t>Bridford</t>
  </si>
  <si>
    <t>Harberton</t>
  </si>
  <si>
    <t>Torquay St Marychurch</t>
  </si>
  <si>
    <t>Kingsteignton</t>
  </si>
  <si>
    <t>Doddiscombeleigh</t>
  </si>
  <si>
    <t>North Bovey</t>
  </si>
  <si>
    <t>Exeter Holy Trinity</t>
  </si>
  <si>
    <t>Denbury</t>
  </si>
  <si>
    <t>Coldridge</t>
  </si>
  <si>
    <t>East Stonehouse</t>
  </si>
  <si>
    <t>Bigbury</t>
  </si>
  <si>
    <t>Alphington</t>
  </si>
  <si>
    <t>Broadwoodkelly</t>
  </si>
  <si>
    <t>East Teignmouth</t>
  </si>
  <si>
    <t>Ashton</t>
  </si>
  <si>
    <t>Stokeinteignhead</t>
  </si>
  <si>
    <t>Torbryan</t>
  </si>
  <si>
    <t>Chulmleigh</t>
  </si>
  <si>
    <t>Manaton</t>
  </si>
  <si>
    <t>Exeter St George</t>
  </si>
  <si>
    <t>Sowton</t>
  </si>
  <si>
    <t>Ipplepen</t>
  </si>
  <si>
    <t>Tamerton Foliot</t>
  </si>
  <si>
    <t>Exeter St John</t>
  </si>
  <si>
    <t>Chudleigh</t>
  </si>
  <si>
    <t>Marldon</t>
  </si>
  <si>
    <t>Cornworthy</t>
  </si>
  <si>
    <t>Exeter St Mary Arches</t>
  </si>
  <si>
    <t>Exeter St Mary Major</t>
  </si>
  <si>
    <t>Ermington</t>
  </si>
  <si>
    <t>Ugborough</t>
  </si>
  <si>
    <t>Exeter St Olave</t>
  </si>
  <si>
    <t>Charleton</t>
  </si>
  <si>
    <t>Tedburn St Mary</t>
  </si>
  <si>
    <t>Exeter Allhallows on the Walls</t>
  </si>
  <si>
    <t>Christow</t>
  </si>
  <si>
    <t>Dittisham</t>
  </si>
  <si>
    <t>Rockbeare</t>
  </si>
  <si>
    <t>Slapton</t>
  </si>
  <si>
    <t>Blackawton</t>
  </si>
  <si>
    <t>Bishopsteignton</t>
  </si>
  <si>
    <t>Brampford Speke</t>
  </si>
  <si>
    <t>Clyst St George</t>
  </si>
  <si>
    <t>Topsham</t>
  </si>
  <si>
    <t>Thorverton</t>
  </si>
  <si>
    <t>Milton Abbot</t>
  </si>
  <si>
    <t>Upton Hellions</t>
  </si>
  <si>
    <t>Shillingford St George</t>
  </si>
  <si>
    <t>Exeter St Petrock</t>
  </si>
  <si>
    <t>Exeter St Martin</t>
  </si>
  <si>
    <t>Exeter St Lawrence</t>
  </si>
  <si>
    <t>Holcombe Burnell</t>
  </si>
  <si>
    <t>Cheriton Bishop</t>
  </si>
  <si>
    <t>Lamerton</t>
  </si>
  <si>
    <t>Kenn</t>
  </si>
  <si>
    <t>Colyton</t>
  </si>
  <si>
    <t>Burrington</t>
  </si>
  <si>
    <t>Hundred</t>
  </si>
  <si>
    <t>Stanborough</t>
  </si>
  <si>
    <t>Teignbridge</t>
  </si>
  <si>
    <t>Coleridge</t>
  </si>
  <si>
    <t>Haytor</t>
  </si>
  <si>
    <t>Hemyock</t>
  </si>
  <si>
    <t>Roborough</t>
  </si>
  <si>
    <t>Wonford</t>
  </si>
  <si>
    <t>Black Torrington</t>
  </si>
  <si>
    <t>North Tawton &amp; Winkleigh</t>
  </si>
  <si>
    <t>Witheridge</t>
  </si>
  <si>
    <t>East Budleigh</t>
  </si>
  <si>
    <t>Lifton</t>
  </si>
  <si>
    <t>Hayridge</t>
  </si>
  <si>
    <t>Shebbear</t>
  </si>
  <si>
    <t>West Budleigh</t>
  </si>
  <si>
    <t>Exeter Cathedral (St Peter)</t>
  </si>
  <si>
    <t>Tavistock</t>
  </si>
  <si>
    <t>Abbots Bickington</t>
  </si>
  <si>
    <t>Ashbury</t>
  </si>
  <si>
    <t>Beaworthy</t>
  </si>
  <si>
    <t>Bradford</t>
  </si>
  <si>
    <t>Bradworthy</t>
  </si>
  <si>
    <t>Clawton</t>
  </si>
  <si>
    <t>Exbourne</t>
  </si>
  <si>
    <t>Halwill</t>
  </si>
  <si>
    <t>Hatherleigh</t>
  </si>
  <si>
    <t>Highampton</t>
  </si>
  <si>
    <t>Hollacombe</t>
  </si>
  <si>
    <t>Holsworthy</t>
  </si>
  <si>
    <t>Inwardleigh</t>
  </si>
  <si>
    <t>Jacobstowe</t>
  </si>
  <si>
    <t>Luffincott</t>
  </si>
  <si>
    <t>Milton Damerell</t>
  </si>
  <si>
    <t>Monkokehampton</t>
  </si>
  <si>
    <t>North Lew</t>
  </si>
  <si>
    <t>Pancrasweek</t>
  </si>
  <si>
    <t>Pyworthy</t>
  </si>
  <si>
    <t>Sutcombe</t>
  </si>
  <si>
    <t>Tetcott</t>
  </si>
  <si>
    <t>Thornbury</t>
  </si>
  <si>
    <t>West Putford</t>
  </si>
  <si>
    <t>Buckland Tout Saints</t>
  </si>
  <si>
    <t>Chivelstone</t>
  </si>
  <si>
    <t>Dartmouth St Petrox</t>
  </si>
  <si>
    <t>Halwell</t>
  </si>
  <si>
    <t>Sherford</t>
  </si>
  <si>
    <t>South Pool</t>
  </si>
  <si>
    <t>Stoke Fleming</t>
  </si>
  <si>
    <t>Stokenham</t>
  </si>
  <si>
    <t>Branscombe</t>
  </si>
  <si>
    <t>Cotleigh</t>
  </si>
  <si>
    <t>Farway</t>
  </si>
  <si>
    <t>Monkton</t>
  </si>
  <si>
    <t>Northleigh</t>
  </si>
  <si>
    <t>Offwell</t>
  </si>
  <si>
    <t>Shute</t>
  </si>
  <si>
    <t>Southleigh</t>
  </si>
  <si>
    <t>Widworthy</t>
  </si>
  <si>
    <t>Colebrooke</t>
  </si>
  <si>
    <t>Kennerleigh</t>
  </si>
  <si>
    <t>Morchard Bishop</t>
  </si>
  <si>
    <t>Sandford</t>
  </si>
  <si>
    <t>Aylesbeare</t>
  </si>
  <si>
    <t>Clyst Honiton</t>
  </si>
  <si>
    <t>Clyst St Mary</t>
  </si>
  <si>
    <t>Lympstone</t>
  </si>
  <si>
    <t>Otterton</t>
  </si>
  <si>
    <t>Colaton Raleigh</t>
  </si>
  <si>
    <t>Farringdon</t>
  </si>
  <si>
    <t>Gittisham</t>
  </si>
  <si>
    <t>Salcombe Regis</t>
  </si>
  <si>
    <t>Sidbury</t>
  </si>
  <si>
    <t>Sidmouth</t>
  </si>
  <si>
    <t>Venn Ottery</t>
  </si>
  <si>
    <t>Woodbury</t>
  </si>
  <si>
    <t>Aveton Gifford</t>
  </si>
  <si>
    <t>Cornwood</t>
  </si>
  <si>
    <t>Harford</t>
  </si>
  <si>
    <t>Kingston</t>
  </si>
  <si>
    <t>Modbury</t>
  </si>
  <si>
    <t>Newton Ferrers</t>
  </si>
  <si>
    <t>Ringmore</t>
  </si>
  <si>
    <t>Ashcombe</t>
  </si>
  <si>
    <t>Dunchideock</t>
  </si>
  <si>
    <t>Mamhead</t>
  </si>
  <si>
    <t>Powderham</t>
  </si>
  <si>
    <t>Trusham</t>
  </si>
  <si>
    <t>Dawlish</t>
  </si>
  <si>
    <t>Clovelly</t>
  </si>
  <si>
    <t>Welcombe</t>
  </si>
  <si>
    <t>Bradninch</t>
  </si>
  <si>
    <t>Cadbury</t>
  </si>
  <si>
    <t>Cadeleigh</t>
  </si>
  <si>
    <t>Cullompton</t>
  </si>
  <si>
    <t>Feniton</t>
  </si>
  <si>
    <t>Payhembury</t>
  </si>
  <si>
    <t>Plymtree</t>
  </si>
  <si>
    <t>Sheldon</t>
  </si>
  <si>
    <t>Silverton</t>
  </si>
  <si>
    <t>Talaton</t>
  </si>
  <si>
    <t>Broadhembury</t>
  </si>
  <si>
    <t>Abbotskerswell</t>
  </si>
  <si>
    <t>Buckland in the Moor</t>
  </si>
  <si>
    <t>Cockington</t>
  </si>
  <si>
    <t>Littlehempston</t>
  </si>
  <si>
    <t>Tormoham (Torquay)</t>
  </si>
  <si>
    <t>Buckerell</t>
  </si>
  <si>
    <t>Clayhidon</t>
  </si>
  <si>
    <t>Culmstock</t>
  </si>
  <si>
    <t>Dunkeswell</t>
  </si>
  <si>
    <t>Bradstone</t>
  </si>
  <si>
    <t>Bratton Clovelly</t>
  </si>
  <si>
    <t>Bridestowe</t>
  </si>
  <si>
    <t>Broadwoodwidger</t>
  </si>
  <si>
    <t>Coryton</t>
  </si>
  <si>
    <t>Dunterton</t>
  </si>
  <si>
    <t>Germansweek</t>
  </si>
  <si>
    <t>Kelly</t>
  </si>
  <si>
    <t>Lew Trenchard</t>
  </si>
  <si>
    <t>Marystowe</t>
  </si>
  <si>
    <t>Sourton</t>
  </si>
  <si>
    <t>Stowford</t>
  </si>
  <si>
    <t>Sydenham Damerel</t>
  </si>
  <si>
    <t>Thrushelton</t>
  </si>
  <si>
    <t>Virginstow</t>
  </si>
  <si>
    <t>Atherington</t>
  </si>
  <si>
    <t>Bondleigh</t>
  </si>
  <si>
    <t>Brushford</t>
  </si>
  <si>
    <t>Chawleigh</t>
  </si>
  <si>
    <t>Clannaborough</t>
  </si>
  <si>
    <t>Dolton</t>
  </si>
  <si>
    <t>Dowland</t>
  </si>
  <si>
    <t>Down St Mary</t>
  </si>
  <si>
    <t>Eggesford</t>
  </si>
  <si>
    <t>High Bickington</t>
  </si>
  <si>
    <t>Lapford</t>
  </si>
  <si>
    <t>Nymet Rowland</t>
  </si>
  <si>
    <t>Wembworthy</t>
  </si>
  <si>
    <t>Buckland Monachorum</t>
  </si>
  <si>
    <t>Egg Buckland</t>
  </si>
  <si>
    <t>Meavy</t>
  </si>
  <si>
    <t>Sampford Spiney</t>
  </si>
  <si>
    <t>Sheepstor</t>
  </si>
  <si>
    <t>Walkhampton</t>
  </si>
  <si>
    <t>Whitchurch</t>
  </si>
  <si>
    <t>Abbotsham</t>
  </si>
  <si>
    <t>Alwington</t>
  </si>
  <si>
    <t>Little Torrington</t>
  </si>
  <si>
    <t>Beaford</t>
  </si>
  <si>
    <t>Bideford</t>
  </si>
  <si>
    <t>Buckland Brewer</t>
  </si>
  <si>
    <t>Buckland Filleigh</t>
  </si>
  <si>
    <t>Bulkworthy</t>
  </si>
  <si>
    <t>East Putford</t>
  </si>
  <si>
    <t>Huish</t>
  </si>
  <si>
    <t>Iddesleigh</t>
  </si>
  <si>
    <t>Landcross</t>
  </si>
  <si>
    <t>Langtree</t>
  </si>
  <si>
    <t>Meeth</t>
  </si>
  <si>
    <t>Merton</t>
  </si>
  <si>
    <t>Newton St Petrock</t>
  </si>
  <si>
    <t>Parkham</t>
  </si>
  <si>
    <t>Peters Marland</t>
  </si>
  <si>
    <t>Petrockstowe</t>
  </si>
  <si>
    <t>Sheepwash</t>
  </si>
  <si>
    <t>Wear Gifford</t>
  </si>
  <si>
    <t>Churchstow</t>
  </si>
  <si>
    <t>Dean Prior</t>
  </si>
  <si>
    <t>Diptford</t>
  </si>
  <si>
    <t>Kingsbridge</t>
  </si>
  <si>
    <t>Loddiswell</t>
  </si>
  <si>
    <t>Moreleigh</t>
  </si>
  <si>
    <t>North Huish</t>
  </si>
  <si>
    <t>South Huish</t>
  </si>
  <si>
    <t>South Milton</t>
  </si>
  <si>
    <t>Thurlestone</t>
  </si>
  <si>
    <t>West Alvington</t>
  </si>
  <si>
    <t>Woodleigh</t>
  </si>
  <si>
    <t>Brentor</t>
  </si>
  <si>
    <t>Ideford</t>
  </si>
  <si>
    <t>Cheriton Fitzpaine</t>
  </si>
  <si>
    <t>Poughill</t>
  </si>
  <si>
    <t>Shobrooke</t>
  </si>
  <si>
    <t>Stockleigh English</t>
  </si>
  <si>
    <t>Stockleigh Pomeroy</t>
  </si>
  <si>
    <t>Washfield</t>
  </si>
  <si>
    <t>Bishops Nympton</t>
  </si>
  <si>
    <t>Cheldon</t>
  </si>
  <si>
    <t>Creacombe</t>
  </si>
  <si>
    <t>Cruwys Morchard</t>
  </si>
  <si>
    <t>East Worlington</t>
  </si>
  <si>
    <t>Mariansleigh</t>
  </si>
  <si>
    <t>Meshaw</t>
  </si>
  <si>
    <t>Puddington</t>
  </si>
  <si>
    <t>Rackenford</t>
  </si>
  <si>
    <t>Rose Ash</t>
  </si>
  <si>
    <t>Templeton</t>
  </si>
  <si>
    <t>Thelbridge</t>
  </si>
  <si>
    <t>Washford Pyne</t>
  </si>
  <si>
    <t>West Worlington</t>
  </si>
  <si>
    <t>Romansleigh</t>
  </si>
  <si>
    <t>Exeter Allhallows Goldsmith Street</t>
  </si>
  <si>
    <t>Exeter Bedford Precinct</t>
  </si>
  <si>
    <t>Exeter Heavitree</t>
  </si>
  <si>
    <t>Exeter St Kerrian</t>
  </si>
  <si>
    <t>Huxham</t>
  </si>
  <si>
    <t>Pinhoe</t>
  </si>
  <si>
    <t>Poltimore</t>
  </si>
  <si>
    <t>Stoke Canon</t>
  </si>
  <si>
    <t>Upton Pyne</t>
  </si>
  <si>
    <t>West Ogwell</t>
  </si>
  <si>
    <t>Whitestone</t>
  </si>
  <si>
    <t>Exeter St Stephen</t>
  </si>
  <si>
    <t>Axminster</t>
  </si>
  <si>
    <t>Bampton</t>
  </si>
  <si>
    <t>Braunton</t>
  </si>
  <si>
    <t>Cliston</t>
  </si>
  <si>
    <t>Fremington</t>
  </si>
  <si>
    <t>Halberton</t>
  </si>
  <si>
    <t>Ottery</t>
  </si>
  <si>
    <t>Plympton</t>
  </si>
  <si>
    <t>Shirwell</t>
  </si>
  <si>
    <t>South Molton</t>
  </si>
  <si>
    <t>Tiverton</t>
  </si>
  <si>
    <t>Combe Raleigh</t>
  </si>
  <si>
    <t>Combpyne</t>
  </si>
  <si>
    <t>Honiton</t>
  </si>
  <si>
    <t>Membury</t>
  </si>
  <si>
    <t>Musbury</t>
  </si>
  <si>
    <t>Kilmington</t>
  </si>
  <si>
    <t>Luppitt</t>
  </si>
  <si>
    <t>Uplyme</t>
  </si>
  <si>
    <t>Upottery</t>
  </si>
  <si>
    <t>Burlescombe (part)</t>
  </si>
  <si>
    <t>Clayhanger</t>
  </si>
  <si>
    <t>Hockworthy</t>
  </si>
  <si>
    <t>Holcombe Rogus</t>
  </si>
  <si>
    <t>Morebath</t>
  </si>
  <si>
    <t>Uffculme</t>
  </si>
  <si>
    <t>Ashford</t>
  </si>
  <si>
    <t>Barnstaple</t>
  </si>
  <si>
    <t>Berrynarbour</t>
  </si>
  <si>
    <t>Bittadon</t>
  </si>
  <si>
    <t>Bratton Fleming</t>
  </si>
  <si>
    <t>Combe Martin</t>
  </si>
  <si>
    <t>East Buckland</t>
  </si>
  <si>
    <t>East Down</t>
  </si>
  <si>
    <t>Filleigh</t>
  </si>
  <si>
    <t>Georgeham</t>
  </si>
  <si>
    <t>Goodleigh</t>
  </si>
  <si>
    <t>Heanton Punchardon</t>
  </si>
  <si>
    <t>Ilfracombe</t>
  </si>
  <si>
    <t>Kentisbury</t>
  </si>
  <si>
    <t>Lundy (island)</t>
  </si>
  <si>
    <t>Marwood</t>
  </si>
  <si>
    <t>Mortenhoe</t>
  </si>
  <si>
    <t>Pilton</t>
  </si>
  <si>
    <t>Trentishoe</t>
  </si>
  <si>
    <t>West Buckland</t>
  </si>
  <si>
    <t>West Down</t>
  </si>
  <si>
    <t>Broadclyst</t>
  </si>
  <si>
    <t>Butterleigh</t>
  </si>
  <si>
    <t>Clyst Hydon</t>
  </si>
  <si>
    <t>Clyst St Lawrence</t>
  </si>
  <si>
    <t>Whimple</t>
  </si>
  <si>
    <t>Ottery St Mary</t>
  </si>
  <si>
    <t>Alverdiscott</t>
  </si>
  <si>
    <t>Great Torrington</t>
  </si>
  <si>
    <t>Horwood</t>
  </si>
  <si>
    <t>Huntshaw</t>
  </si>
  <si>
    <t>Instow</t>
  </si>
  <si>
    <t>Newton Tracey</t>
  </si>
  <si>
    <t>St Giles in the Wood</t>
  </si>
  <si>
    <t>Tawstock</t>
  </si>
  <si>
    <t>Sampford Peverell</t>
  </si>
  <si>
    <t>Uplowman (part)</t>
  </si>
  <si>
    <t>Brixton</t>
  </si>
  <si>
    <t>Plympton St Mary</t>
  </si>
  <si>
    <t>Plymstock</t>
  </si>
  <si>
    <t>Revelstoke</t>
  </si>
  <si>
    <t>Wembury</t>
  </si>
  <si>
    <t>Yealmpton</t>
  </si>
  <si>
    <t>Shaugh Prior</t>
  </si>
  <si>
    <t>Arlington</t>
  </si>
  <si>
    <t>Brendon</t>
  </si>
  <si>
    <t>Challacombe</t>
  </si>
  <si>
    <t>Charles</t>
  </si>
  <si>
    <t>Countisbury</t>
  </si>
  <si>
    <t>High Bray</t>
  </si>
  <si>
    <t>Loxhore</t>
  </si>
  <si>
    <t>Lynton</t>
  </si>
  <si>
    <t>Martinhoe</t>
  </si>
  <si>
    <t>Parracombe</t>
  </si>
  <si>
    <t>Stoke Rivers</t>
  </si>
  <si>
    <t>Calverleigh</t>
  </si>
  <si>
    <t>Huntsham</t>
  </si>
  <si>
    <t>Loxbeare</t>
  </si>
  <si>
    <t>East Anstey</t>
  </si>
  <si>
    <t>Bishops Tawton</t>
  </si>
  <si>
    <t>George Nympton</t>
  </si>
  <si>
    <t>Knowstone</t>
  </si>
  <si>
    <t>Landkey</t>
  </si>
  <si>
    <t>Molland</t>
  </si>
  <si>
    <t>North Molton</t>
  </si>
  <si>
    <t>Satterleigh</t>
  </si>
  <si>
    <t>Swimbridge</t>
  </si>
  <si>
    <t>Twitchen</t>
  </si>
  <si>
    <t>Warkleigh</t>
  </si>
  <si>
    <t>West Anstey</t>
  </si>
  <si>
    <t>Market Town?</t>
  </si>
  <si>
    <t>Yes</t>
  </si>
  <si>
    <t>Historically</t>
  </si>
  <si>
    <t>Dodbrooke (Kingsbridge)</t>
  </si>
  <si>
    <t>Bow (or Nymet Tracy)</t>
  </si>
  <si>
    <t>Vancouver Order</t>
  </si>
  <si>
    <t>East Portlemouth</t>
  </si>
  <si>
    <t>Moreton</t>
  </si>
  <si>
    <t>Torrington</t>
  </si>
  <si>
    <t>Tamerton</t>
  </si>
  <si>
    <t>Trigg Major (Cornwall)</t>
  </si>
  <si>
    <t>Dartmouth St Clement / Townstall</t>
  </si>
  <si>
    <t>Three Towns</t>
  </si>
  <si>
    <t>Christianity</t>
  </si>
  <si>
    <t>Honeychurch</t>
  </si>
  <si>
    <t>King's Nympton</t>
  </si>
  <si>
    <t>East (Cornwall)</t>
  </si>
  <si>
    <t>Nether Exe</t>
  </si>
  <si>
    <t>Widecombe in the Moor</t>
  </si>
  <si>
    <t>Not Devon</t>
  </si>
  <si>
    <t>Deanery (old)</t>
  </si>
  <si>
    <t>Not listed</t>
  </si>
  <si>
    <t>Shaldon / St Nicholas</t>
  </si>
  <si>
    <t>Adj 7</t>
  </si>
  <si>
    <t>Families</t>
  </si>
  <si>
    <t>Agric</t>
  </si>
  <si>
    <t>Mftg</t>
  </si>
  <si>
    <t>Other</t>
  </si>
  <si>
    <t>Highweek (Newton Abbot)</t>
  </si>
  <si>
    <t>Exeter St Edmund (outside City walls)</t>
  </si>
  <si>
    <t>Exeter St Mary Steps (partly outside City walls)</t>
  </si>
  <si>
    <t>Pop/Fam</t>
  </si>
  <si>
    <t>Ag/Pop</t>
  </si>
  <si>
    <t>Ind/Pop</t>
  </si>
  <si>
    <t>Other/Pop</t>
  </si>
  <si>
    <t>Ind/Ag</t>
  </si>
  <si>
    <t>Other/A+I</t>
  </si>
  <si>
    <t>Vancouver 1</t>
  </si>
  <si>
    <t>Vancouver 2</t>
  </si>
  <si>
    <t>Vancouver 3</t>
  </si>
  <si>
    <t>Vancouver 4</t>
  </si>
  <si>
    <t>Vancouver 5</t>
  </si>
  <si>
    <t>Vancouver 6</t>
  </si>
  <si>
    <t>Vancouver 7</t>
  </si>
  <si>
    <t>Vancouver Exeter</t>
  </si>
  <si>
    <t>All market towns</t>
  </si>
  <si>
    <t>Market towns with continuing markets</t>
  </si>
  <si>
    <t>'Cornish' parishes</t>
  </si>
  <si>
    <t>Hawkchurch (from Dorset, 1896)</t>
  </si>
  <si>
    <t>Dalwood (from Dorset, 1844)</t>
  </si>
  <si>
    <t>Stockland (from Dorset, 1844)</t>
  </si>
  <si>
    <t>North Petherwin (to Cornwall, 1966)</t>
  </si>
  <si>
    <t>Werrington (to Cornwall, 1966)</t>
  </si>
  <si>
    <t>St Giles in the Heath (was Cornwall)</t>
  </si>
  <si>
    <t>Thorncombe (to Dorset, 1844)</t>
  </si>
  <si>
    <t>Kingswear</t>
  </si>
  <si>
    <t>Yes (part)</t>
  </si>
  <si>
    <t>Market towns with continuing markets (single parishes)</t>
  </si>
  <si>
    <t>Market towns with continuing markets (multiple parishes)</t>
  </si>
  <si>
    <t>Plymouth/SD</t>
  </si>
  <si>
    <t>Other Towns</t>
  </si>
  <si>
    <t>Large village</t>
  </si>
  <si>
    <t>Medium village</t>
  </si>
  <si>
    <t>Exeter and immediate surrounds</t>
  </si>
  <si>
    <t>Plymouth and Stoke Damerel</t>
  </si>
  <si>
    <t>INTERMEDIATE WORKING SUB-TOTALS</t>
  </si>
  <si>
    <t>Yarcombe</t>
  </si>
  <si>
    <t>Former market towns</t>
  </si>
  <si>
    <t>Other medium villages (1,000 to 1,499 inhabitants)</t>
  </si>
  <si>
    <t>Northam (incl Appledore)</t>
  </si>
  <si>
    <t>Yarnscombe (data amended)</t>
  </si>
  <si>
    <t>Hennock (data amended)</t>
  </si>
  <si>
    <t>Holbeton (data amended)</t>
  </si>
  <si>
    <t>Kentisbeare (incl Blackborough)</t>
  </si>
  <si>
    <t>Boyton (Mostly Cornwall, but Northcott = Devon)</t>
  </si>
  <si>
    <t>Chardstock (from Dorset, 1896; incl All Saints)</t>
  </si>
  <si>
    <t>East Budleigh (incl Budleigh Salterton)</t>
  </si>
  <si>
    <t>Chittlehampton (incl Chittlehamholt)</t>
  </si>
  <si>
    <t>Combeinteignhead (incl Haccombe)</t>
  </si>
  <si>
    <t>Ermington (incl Ivybridge)</t>
  </si>
  <si>
    <t>Maker (Mostly Cornwall, but Vaulter's Home = Devon)</t>
  </si>
  <si>
    <t>Malborough (incl Salcombe)</t>
  </si>
  <si>
    <t>Bickleigh (near Plymouth)</t>
  </si>
  <si>
    <t>Bickleigh (near Tiverton)</t>
  </si>
  <si>
    <t>Littleham (near Bideford)</t>
  </si>
  <si>
    <t>Westleigh (near Bideford)</t>
  </si>
  <si>
    <t>Woolfardisworthy (near Hartland)</t>
  </si>
  <si>
    <t>Woolfardisworthy (in Mid Devon)</t>
  </si>
  <si>
    <t>Popn 1811</t>
  </si>
  <si>
    <t>Popn 1821</t>
  </si>
  <si>
    <t>Families 1801</t>
  </si>
  <si>
    <t>Agric empl 1801</t>
  </si>
  <si>
    <t>Other occ 1801</t>
  </si>
  <si>
    <t>Popn 1801</t>
  </si>
  <si>
    <t>Brixham (All Saints &amp; St Mary)</t>
  </si>
  <si>
    <t>Devon total</t>
  </si>
  <si>
    <t>User-selected</t>
  </si>
  <si>
    <t>User-defined Parish or Group of Parishes 1</t>
  </si>
  <si>
    <t>User-defined Parish or Group of Parishes 2</t>
  </si>
  <si>
    <t>User-defined Parish or Group of Parishes 3</t>
  </si>
  <si>
    <t>User-defined Parish or Group of Parishes 4</t>
  </si>
  <si>
    <t>User-defined Parish or Group of Parishes 5</t>
  </si>
  <si>
    <t>Houses</t>
  </si>
  <si>
    <t>north-eastern edge of Dartmoor).</t>
  </si>
  <si>
    <t>but excluding the moorland between South Molton, Chulmleigh and Tiverton. Plus the land lying between Exeter and the</t>
  </si>
  <si>
    <t>North Devon (= north of a line running west-east, about 2-3 miles south of Bideford and South Molton).</t>
  </si>
  <si>
    <t>South Hams, Dunstone, Limestone, Slate and Clay (= most of the land south of a line from Lydford to Teignmouth, but excluding</t>
  </si>
  <si>
    <t>the high parts of Dartmoor).</t>
  </si>
  <si>
    <t>Granite Gravel (= the eastern parts of Dartmoor, including Chagford, Widecombe-in-the-Moor and the upper Teign valley).</t>
  </si>
  <si>
    <t xml:space="preserve">Free or Dunstone Land (= a band running mainly west-east to the south of District 1, from Hartland through Chulmleigh to Tiverton, </t>
  </si>
  <si>
    <t>Red sandy Loam, Marle, Grout and Dunstone including the Flints of Haldon and Woodbury (= the 'red earth' lands centred on Exeter,</t>
  </si>
  <si>
    <t>and extending south to the Teign, west beyond Crediton, up the western side of the Blackdown Hills and east to Feniton).</t>
  </si>
  <si>
    <t>Vancouver Dartmoor Forest</t>
  </si>
  <si>
    <t>Hundred code</t>
  </si>
  <si>
    <t>Deanery code</t>
  </si>
  <si>
    <t>Ag/Popn</t>
  </si>
  <si>
    <t>Family size</t>
  </si>
  <si>
    <t>Other/Popn</t>
  </si>
  <si>
    <t>Popn11/ Popn01</t>
  </si>
  <si>
    <t>Popn21/ Popn11</t>
  </si>
  <si>
    <t>Plymouth</t>
  </si>
  <si>
    <t>Harpford</t>
  </si>
  <si>
    <t>Other small towns / large villages (over 1,500 inhabitants)</t>
  </si>
  <si>
    <t>Devon outside the two main cities</t>
  </si>
  <si>
    <t>Small villages and hamlets (under 1,000 inhabitants)</t>
  </si>
  <si>
    <t>North Tawton (incl Broad Nymet)</t>
  </si>
  <si>
    <t>Starcross (created later from Dawlish and Kenton)</t>
  </si>
  <si>
    <t>Roborough (near Torrington)</t>
  </si>
  <si>
    <t>Hundreds</t>
  </si>
  <si>
    <t>Parishes, by type</t>
  </si>
  <si>
    <t>Deaneries</t>
  </si>
  <si>
    <t>Vancouver's agricultural districts</t>
  </si>
  <si>
    <t xml:space="preserve">Moor Lands (= the farmed moorland and moorland edges between South Molton, Chulmleigh and Tiverton, centred near Witheridge / </t>
  </si>
  <si>
    <t>Meshaw, plus most of the land to the north-west of a line through Launceston and Okehampton, but excluding Hartland and the north coast).</t>
  </si>
  <si>
    <t>His definitions, from his map key (followed by clarificatory notes)</t>
  </si>
  <si>
    <t>Parishes - the most local level at which data were collected</t>
  </si>
  <si>
    <t>Categories / Groups - for use when sorting, filtering and/or summarising data</t>
  </si>
  <si>
    <t>Raw data from the 1801 census</t>
  </si>
  <si>
    <t>'Indicators' calculated from the 1801 census raw data</t>
  </si>
  <si>
    <t>Bridgerule (Mostly Cornwall. Devon part only)</t>
  </si>
  <si>
    <t>Aylesbeare (incl Newton Poppleford)</t>
  </si>
  <si>
    <t>Bicton (incl Dotton)</t>
  </si>
  <si>
    <t>Peter Tavy (incl Willsworthy)</t>
  </si>
  <si>
    <t>Popn 1815 (est)</t>
  </si>
  <si>
    <t>Property value 1815</t>
  </si>
  <si>
    <t>Value (£ per capita)</t>
  </si>
  <si>
    <t>Plympton St Maurice / Plympton Earl</t>
  </si>
  <si>
    <t>Val/cap as % of Devon av</t>
  </si>
  <si>
    <t>Popn 1831</t>
  </si>
  <si>
    <t>Popn31/ Popn21</t>
  </si>
  <si>
    <t>Popn31/ Popn01</t>
  </si>
  <si>
    <t>Pennycross / Weston Peverell (linked to Plymouth St Andrew)</t>
  </si>
  <si>
    <t>Plymouth St Andrew (excl Pennycross / Weston Peverell)</t>
  </si>
  <si>
    <t>Compton Gifford (lined to Plymouth Charles the Martyr)</t>
  </si>
  <si>
    <t>Plymouth Charles the Martyr (excl Compton Gifford)</t>
  </si>
  <si>
    <t>Axmouth (incl Horsedown and Rousdon)</t>
  </si>
  <si>
    <t>Axminster (incl Beerhall)</t>
  </si>
  <si>
    <t>Ashreigney / Ring Ash</t>
  </si>
  <si>
    <t>Bere Ferrers (incl Bere Alston)</t>
  </si>
  <si>
    <t>St Budeaux (small part in Cornwall)</t>
  </si>
  <si>
    <t>Dartmouth St Saviour</t>
  </si>
  <si>
    <t>Lydford (incl Dartmoor Forest / Princetown)</t>
  </si>
  <si>
    <t>Exeter St Paul (incl Bradninch Precinct / Castle)</t>
  </si>
  <si>
    <t>Halberton / Newport</t>
  </si>
  <si>
    <t>Woodland (linked to Ipplepen)</t>
  </si>
  <si>
    <t>Ipplepen (excl Woodland)</t>
  </si>
  <si>
    <t>Littleham (incl most of Exmouth)</t>
  </si>
  <si>
    <t>Wolborough (incl most of Newton Abbot)</t>
  </si>
  <si>
    <t>Okehampton (incl Kigbeare)</t>
  </si>
  <si>
    <t>Oakford</t>
  </si>
  <si>
    <t>Stoke Damerel / Devonport</t>
  </si>
  <si>
    <t>Seaton (incl Beer)</t>
  </si>
  <si>
    <t>Willand (excl Whitrey)</t>
  </si>
  <si>
    <t>Withycombe Raleigh (incl part of Exmouth)</t>
  </si>
  <si>
    <t>Stoodleigh (incl Highley St Mary)</t>
  </si>
  <si>
    <t>Rewe (part, excl Up Exe)</t>
  </si>
  <si>
    <t>Rewe (part, incl Up Exe)</t>
  </si>
  <si>
    <t>Later censuses</t>
  </si>
  <si>
    <t>Parish as % of Devon</t>
  </si>
  <si>
    <t>Honiton (later)</t>
  </si>
  <si>
    <t>Four Dorset parishes, later in Devon</t>
  </si>
  <si>
    <t>Grand total</t>
  </si>
  <si>
    <t>Population growth rates (calculated)</t>
  </si>
  <si>
    <t>Devon Totals (1801 parishes)</t>
  </si>
  <si>
    <t>Popn01</t>
  </si>
  <si>
    <t>% of Devon</t>
  </si>
  <si>
    <t>Popn11</t>
  </si>
  <si>
    <t>Popn21</t>
  </si>
  <si>
    <t>Popn31</t>
  </si>
  <si>
    <t>Popn11/01</t>
  </si>
  <si>
    <t>Popn21/11</t>
  </si>
  <si>
    <t>Popn31/21</t>
  </si>
  <si>
    <t>Popn31/01</t>
  </si>
  <si>
    <t>Popn15 (est)</t>
  </si>
  <si>
    <t>Prop val 15</t>
  </si>
  <si>
    <t>£/cap</t>
  </si>
  <si>
    <t>£/cap %Dev</t>
  </si>
  <si>
    <t>Devon - whole county (1801 parishes)</t>
  </si>
  <si>
    <t>Deaneries have changed over time. The ones used here are the same as those used by the Devon FHS in its 'Deanery' CDs.</t>
  </si>
  <si>
    <t>East Devon</t>
  </si>
  <si>
    <t>Torridge</t>
  </si>
  <si>
    <t>North Devon</t>
  </si>
  <si>
    <t>Mid Devon</t>
  </si>
  <si>
    <t>West Devon</t>
  </si>
  <si>
    <t>Torbay</t>
  </si>
  <si>
    <t>South Hams</t>
  </si>
  <si>
    <t>Samford Courtenay (incl Sticklepath)</t>
  </si>
  <si>
    <t>Churchstanton (to Somerset, 1896)</t>
  </si>
  <si>
    <t>No longer Devon</t>
  </si>
  <si>
    <t>Exeter St David (outside City walls)</t>
  </si>
  <si>
    <t>Exeter St Sidwell (outside City walls)</t>
  </si>
  <si>
    <t>Exeter St Leonard (outside City walls)</t>
  </si>
  <si>
    <t>Exeter St Thomas the Apostle (outside City walls)</t>
  </si>
  <si>
    <t>Modern Districts</t>
  </si>
  <si>
    <t>Devon (including new and former parishes)</t>
  </si>
  <si>
    <t>Devon (present parishes only)</t>
  </si>
  <si>
    <t>Parishes no longer in Devon</t>
  </si>
  <si>
    <t>n/a</t>
  </si>
  <si>
    <t>East Devon (incl post-1801 parishes)</t>
  </si>
  <si>
    <t>NB: Those data sets marked as 'n/a' are not available for parishes which were not in Devon in 1801, so the equivalent totals for East Devon and Devon are also slightly lower than they should be.</t>
  </si>
  <si>
    <t>Post-1801 (new) parishes only</t>
  </si>
  <si>
    <t>Chalk, Flint, Sandstone, Marle, Freestone, Limestone etc etc (= east of a line running north-south just west of Dunkeswell and Sidmouth).</t>
  </si>
  <si>
    <t>Not defined by reference to soil type (= all parishes and precincts within the City walls, and four others).</t>
  </si>
  <si>
    <t>Not defined by reference to soil type (= the unpopulated high parts of Dartmoor).</t>
  </si>
  <si>
    <t>A map of the boundaries of all Hundreds in Devon can be found on-line via the visionofbritain.org.uk website (select 'Historical maps' and then 'Boundary maps').</t>
  </si>
  <si>
    <t>Vancouver District</t>
  </si>
  <si>
    <t>Modern District</t>
  </si>
  <si>
    <t>Modern District code</t>
  </si>
  <si>
    <t>Houses occupied 1801</t>
  </si>
  <si>
    <t>Mftg (etc) empl 1801</t>
  </si>
  <si>
    <t>Ind (etc)/ Popn</t>
  </si>
  <si>
    <t>Ind (etc)/ Ag</t>
  </si>
  <si>
    <t>Other/Ag + Ind (etc)</t>
  </si>
  <si>
    <t>1815 annual property values, and calculated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</si>
</sst>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&quot;£&quot;#,##0"/>
    <numFmt numFmtId="166" formatCode="&quot;£&quot;#,##0.00"/>
  </numFmts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sz val="10"/>
      <color rgb="FF006A71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3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2" fillId="0" borderId="0" xfId="0" applyFont="1" applyFill="1" applyBorder="1"/>
    <xf numFmtId="0" fontId="2" fillId="0" borderId="1" xfId="0" quotePrefix="1" applyFont="1" applyFill="1" applyBorder="1"/>
    <xf numFmtId="3" fontId="2" fillId="0" borderId="1" xfId="0" applyNumberFormat="1" applyFont="1" applyFill="1" applyBorder="1"/>
    <xf numFmtId="2" fontId="2" fillId="0" borderId="1" xfId="0" applyNumberFormat="1" applyFont="1" applyFill="1" applyBorder="1"/>
    <xf numFmtId="164" fontId="2" fillId="0" borderId="1" xfId="0" applyNumberFormat="1" applyFont="1" applyFill="1" applyBorder="1"/>
    <xf numFmtId="0" fontId="3" fillId="0" borderId="2" xfId="0" applyFont="1" applyFill="1" applyBorder="1"/>
    <xf numFmtId="3" fontId="2" fillId="0" borderId="0" xfId="0" applyNumberFormat="1" applyFont="1" applyFill="1" applyBorder="1"/>
    <xf numFmtId="2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0" borderId="1" xfId="0" applyFont="1" applyBorder="1"/>
    <xf numFmtId="0" fontId="0" fillId="0" borderId="0" xfId="0" applyFill="1"/>
    <xf numFmtId="164" fontId="0" fillId="0" borderId="1" xfId="0" applyNumberFormat="1" applyBorder="1"/>
    <xf numFmtId="3" fontId="0" fillId="0" borderId="1" xfId="0" applyNumberFormat="1" applyBorder="1"/>
    <xf numFmtId="0" fontId="3" fillId="0" borderId="1" xfId="0" applyFont="1" applyBorder="1"/>
    <xf numFmtId="0" fontId="2" fillId="0" borderId="0" xfId="0" applyFont="1" applyBorder="1"/>
    <xf numFmtId="0" fontId="3" fillId="0" borderId="0" xfId="0" applyFont="1" applyFill="1" applyBorder="1"/>
    <xf numFmtId="0" fontId="2" fillId="0" borderId="0" xfId="0" applyFont="1"/>
    <xf numFmtId="0" fontId="3" fillId="2" borderId="1" xfId="0" applyFont="1" applyFill="1" applyBorder="1" applyAlignment="1" applyProtection="1">
      <alignment horizontal="center" textRotation="90" wrapText="1"/>
    </xf>
    <xf numFmtId="0" fontId="3" fillId="4" borderId="1" xfId="0" applyFont="1" applyFill="1" applyBorder="1" applyAlignment="1" applyProtection="1">
      <alignment horizontal="center" textRotation="90" wrapText="1"/>
    </xf>
    <xf numFmtId="0" fontId="3" fillId="5" borderId="1" xfId="0" applyFont="1" applyFill="1" applyBorder="1" applyAlignment="1" applyProtection="1">
      <alignment horizontal="center" textRotation="90" wrapText="1"/>
    </xf>
    <xf numFmtId="0" fontId="3" fillId="0" borderId="0" xfId="0" applyFont="1" applyFill="1" applyAlignment="1" applyProtection="1">
      <alignment wrapText="1"/>
    </xf>
    <xf numFmtId="0" fontId="2" fillId="0" borderId="1" xfId="0" applyFont="1" applyFill="1" applyBorder="1" applyProtection="1"/>
    <xf numFmtId="0" fontId="4" fillId="0" borderId="1" xfId="0" applyFont="1" applyFill="1" applyBorder="1" applyProtection="1"/>
    <xf numFmtId="3" fontId="5" fillId="0" borderId="1" xfId="0" applyNumberFormat="1" applyFont="1" applyBorder="1" applyAlignment="1" applyProtection="1">
      <alignment vertical="center" wrapText="1"/>
    </xf>
    <xf numFmtId="3" fontId="2" fillId="0" borderId="1" xfId="0" applyNumberFormat="1" applyFont="1" applyFill="1" applyBorder="1" applyProtection="1"/>
    <xf numFmtId="2" fontId="2" fillId="0" borderId="1" xfId="0" applyNumberFormat="1" applyFont="1" applyFill="1" applyBorder="1" applyProtection="1"/>
    <xf numFmtId="164" fontId="2" fillId="0" borderId="1" xfId="0" applyNumberFormat="1" applyFont="1" applyFill="1" applyBorder="1" applyProtection="1"/>
    <xf numFmtId="0" fontId="5" fillId="0" borderId="1" xfId="0" applyFont="1" applyBorder="1" applyAlignment="1" applyProtection="1">
      <alignment vertical="center" wrapText="1"/>
    </xf>
    <xf numFmtId="164" fontId="5" fillId="0" borderId="1" xfId="0" applyNumberFormat="1" applyFont="1" applyBorder="1" applyAlignment="1" applyProtection="1">
      <alignment vertical="center" wrapText="1"/>
    </xf>
    <xf numFmtId="164" fontId="2" fillId="0" borderId="1" xfId="0" applyNumberFormat="1" applyFont="1" applyFill="1" applyBorder="1" applyAlignment="1" applyProtection="1">
      <alignment vertical="center"/>
    </xf>
    <xf numFmtId="0" fontId="2" fillId="0" borderId="0" xfId="0" applyFont="1" applyFill="1" applyProtection="1"/>
    <xf numFmtId="3" fontId="5" fillId="3" borderId="1" xfId="0" applyNumberFormat="1" applyFont="1" applyFill="1" applyBorder="1" applyAlignment="1" applyProtection="1">
      <alignment vertical="center" wrapText="1"/>
    </xf>
    <xf numFmtId="3" fontId="5" fillId="0" borderId="1" xfId="0" applyNumberFormat="1" applyFont="1" applyFill="1" applyBorder="1" applyAlignment="1" applyProtection="1">
      <alignment vertical="center" wrapText="1"/>
    </xf>
    <xf numFmtId="164" fontId="5" fillId="0" borderId="1" xfId="0" applyNumberFormat="1" applyFont="1" applyFill="1" applyBorder="1" applyAlignment="1" applyProtection="1">
      <alignment vertical="center" wrapText="1"/>
    </xf>
    <xf numFmtId="3" fontId="2" fillId="3" borderId="1" xfId="0" applyNumberFormat="1" applyFont="1" applyFill="1" applyBorder="1" applyProtection="1"/>
    <xf numFmtId="0" fontId="5" fillId="3" borderId="1" xfId="0" applyFont="1" applyFill="1" applyBorder="1" applyAlignment="1" applyProtection="1">
      <alignment vertical="center" wrapText="1"/>
    </xf>
    <xf numFmtId="0" fontId="2" fillId="0" borderId="0" xfId="0" applyFont="1" applyFill="1" applyBorder="1" applyProtection="1"/>
    <xf numFmtId="164" fontId="5" fillId="0" borderId="0" xfId="0" applyNumberFormat="1" applyFont="1" applyBorder="1" applyAlignment="1" applyProtection="1">
      <alignment vertical="center" wrapText="1"/>
    </xf>
    <xf numFmtId="164" fontId="2" fillId="0" borderId="0" xfId="0" applyNumberFormat="1" applyFont="1" applyFill="1" applyBorder="1" applyAlignment="1" applyProtection="1">
      <alignment vertical="center"/>
    </xf>
    <xf numFmtId="3" fontId="2" fillId="0" borderId="0" xfId="0" applyNumberFormat="1" applyFont="1" applyFill="1" applyProtection="1"/>
    <xf numFmtId="0" fontId="3" fillId="0" borderId="0" xfId="0" applyFont="1"/>
    <xf numFmtId="0" fontId="7" fillId="0" borderId="0" xfId="0" applyFont="1" applyFill="1" applyAlignment="1" applyProtection="1">
      <alignment vertical="top" wrapText="1"/>
    </xf>
    <xf numFmtId="0" fontId="7" fillId="6" borderId="0" xfId="0" applyFont="1" applyFill="1" applyAlignment="1" applyProtection="1">
      <alignment vertical="top" wrapText="1"/>
    </xf>
    <xf numFmtId="0" fontId="2" fillId="2" borderId="1" xfId="0" applyFont="1" applyFill="1" applyBorder="1" applyProtection="1"/>
    <xf numFmtId="0" fontId="4" fillId="2" borderId="1" xfId="0" applyFont="1" applyFill="1" applyBorder="1" applyProtection="1"/>
    <xf numFmtId="0" fontId="2" fillId="3" borderId="1" xfId="0" applyFont="1" applyFill="1" applyBorder="1" applyProtection="1"/>
    <xf numFmtId="3" fontId="5" fillId="3" borderId="1" xfId="0" applyNumberFormat="1" applyFont="1" applyFill="1" applyBorder="1" applyAlignment="1" applyProtection="1">
      <alignment vertical="center"/>
    </xf>
    <xf numFmtId="3" fontId="2" fillId="0" borderId="0" xfId="0" applyNumberFormat="1" applyFont="1" applyFill="1" applyBorder="1" applyProtection="1"/>
    <xf numFmtId="165" fontId="5" fillId="0" borderId="1" xfId="0" applyNumberFormat="1" applyFont="1" applyBorder="1" applyAlignment="1" applyProtection="1">
      <alignment vertical="center" wrapText="1"/>
    </xf>
    <xf numFmtId="165" fontId="5" fillId="0" borderId="1" xfId="0" applyNumberFormat="1" applyFont="1" applyFill="1" applyBorder="1" applyAlignment="1" applyProtection="1">
      <alignment vertical="center" wrapText="1"/>
    </xf>
    <xf numFmtId="165" fontId="5" fillId="3" borderId="1" xfId="0" applyNumberFormat="1" applyFont="1" applyFill="1" applyBorder="1" applyAlignment="1" applyProtection="1">
      <alignment vertical="center" wrapText="1"/>
    </xf>
    <xf numFmtId="165" fontId="2" fillId="0" borderId="1" xfId="0" applyNumberFormat="1" applyFont="1" applyFill="1" applyBorder="1" applyProtection="1"/>
    <xf numFmtId="165" fontId="6" fillId="0" borderId="1" xfId="0" applyNumberFormat="1" applyFont="1" applyFill="1" applyBorder="1" applyAlignment="1" applyProtection="1">
      <alignment vertical="center" wrapText="1"/>
    </xf>
    <xf numFmtId="166" fontId="5" fillId="0" borderId="1" xfId="0" applyNumberFormat="1" applyFont="1" applyBorder="1" applyAlignment="1" applyProtection="1">
      <alignment vertical="center" wrapText="1"/>
    </xf>
    <xf numFmtId="166" fontId="2" fillId="0" borderId="0" xfId="0" applyNumberFormat="1" applyFont="1" applyFill="1" applyBorder="1" applyProtection="1"/>
    <xf numFmtId="9" fontId="5" fillId="0" borderId="1" xfId="0" applyNumberFormat="1" applyFont="1" applyBorder="1" applyAlignment="1" applyProtection="1">
      <alignment vertical="center" wrapText="1"/>
    </xf>
    <xf numFmtId="3" fontId="6" fillId="0" borderId="1" xfId="0" applyNumberFormat="1" applyFont="1" applyFill="1" applyBorder="1" applyAlignment="1" applyProtection="1">
      <alignment vertical="center" wrapText="1"/>
    </xf>
    <xf numFmtId="3" fontId="5" fillId="0" borderId="3" xfId="0" applyNumberFormat="1" applyFont="1" applyBorder="1" applyAlignment="1" applyProtection="1">
      <alignment vertical="center" wrapText="1"/>
    </xf>
    <xf numFmtId="0" fontId="3" fillId="7" borderId="1" xfId="0" applyFont="1" applyFill="1" applyBorder="1" applyAlignment="1" applyProtection="1">
      <alignment horizontal="center" textRotation="90" wrapText="1"/>
    </xf>
    <xf numFmtId="10" fontId="2" fillId="0" borderId="1" xfId="0" applyNumberFormat="1" applyFont="1" applyFill="1" applyBorder="1" applyProtection="1"/>
    <xf numFmtId="165" fontId="2" fillId="0" borderId="1" xfId="0" applyNumberFormat="1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horizontal="right"/>
    </xf>
    <xf numFmtId="0" fontId="2" fillId="0" borderId="0" xfId="0" applyFont="1" applyFill="1" applyBorder="1" applyAlignment="1" applyProtection="1">
      <alignment horizontal="right"/>
    </xf>
    <xf numFmtId="165" fontId="0" fillId="0" borderId="0" xfId="0" applyNumberFormat="1"/>
    <xf numFmtId="166" fontId="0" fillId="0" borderId="1" xfId="0" applyNumberFormat="1" applyBorder="1"/>
    <xf numFmtId="9" fontId="0" fillId="0" borderId="1" xfId="0" applyNumberFormat="1" applyBorder="1"/>
    <xf numFmtId="3" fontId="0" fillId="0" borderId="0" xfId="0" applyNumberFormat="1" applyBorder="1"/>
    <xf numFmtId="165" fontId="2" fillId="0" borderId="1" xfId="0" applyNumberFormat="1" applyFont="1" applyFill="1" applyBorder="1"/>
    <xf numFmtId="164" fontId="2" fillId="0" borderId="1" xfId="0" applyNumberFormat="1" applyFont="1" applyBorder="1"/>
    <xf numFmtId="3" fontId="5" fillId="3" borderId="3" xfId="0" applyNumberFormat="1" applyFont="1" applyFill="1" applyBorder="1" applyAlignment="1" applyProtection="1">
      <alignment vertical="center" wrapText="1"/>
    </xf>
    <xf numFmtId="165" fontId="2" fillId="0" borderId="0" xfId="0" applyNumberFormat="1" applyFont="1" applyFill="1" applyBorder="1" applyProtection="1"/>
    <xf numFmtId="0" fontId="7" fillId="7" borderId="0" xfId="0" applyFont="1" applyFill="1" applyAlignment="1" applyProtection="1">
      <alignment horizontal="center" vertical="top" wrapText="1"/>
    </xf>
    <xf numFmtId="0" fontId="7" fillId="2" borderId="0" xfId="0" applyFont="1" applyFill="1" applyAlignment="1" applyProtection="1">
      <alignment horizontal="center" vertical="top" wrapText="1"/>
    </xf>
    <xf numFmtId="0" fontId="7" fillId="4" borderId="0" xfId="0" quotePrefix="1" applyFont="1" applyFill="1" applyAlignment="1" applyProtection="1">
      <alignment horizontal="center" vertical="top" wrapText="1"/>
    </xf>
    <xf numFmtId="0" fontId="7" fillId="4" borderId="0" xfId="0" applyFont="1" applyFill="1" applyAlignment="1" applyProtection="1">
      <alignment horizontal="center" vertical="top" wrapText="1"/>
    </xf>
    <xf numFmtId="0" fontId="7" fillId="5" borderId="0" xfId="0" applyFont="1" applyFill="1" applyAlignment="1" applyProtection="1">
      <alignment horizontal="center" vertical="top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 applyProtection="1">
      <alignment horizontal="right" vertical="center"/>
    </xf>
    <xf numFmtId="2" fontId="2" fillId="0" borderId="1" xfId="0" applyNumberFormat="1" applyFont="1" applyFill="1" applyBorder="1" applyAlignment="1" applyProtection="1">
      <alignment horizontal="right" vertical="center"/>
    </xf>
    <xf numFmtId="164" fontId="2" fillId="0" borderId="1" xfId="0" applyNumberFormat="1" applyFont="1" applyFill="1" applyBorder="1" applyAlignment="1" applyProtection="1">
      <alignment horizontal="right" vertical="center"/>
    </xf>
    <xf numFmtId="10" fontId="2" fillId="0" borderId="1" xfId="0" applyNumberFormat="1" applyFont="1" applyFill="1" applyBorder="1" applyAlignment="1" applyProtection="1">
      <alignment horizontal="right" vertical="center"/>
    </xf>
    <xf numFmtId="164" fontId="5" fillId="0" borderId="1" xfId="0" applyNumberFormat="1" applyFont="1" applyBorder="1" applyAlignment="1" applyProtection="1">
      <alignment horizontal="right" vertical="center" wrapText="1"/>
    </xf>
    <xf numFmtId="3" fontId="5" fillId="0" borderId="1" xfId="0" applyNumberFormat="1" applyFont="1" applyBorder="1" applyAlignment="1" applyProtection="1">
      <alignment horizontal="right" vertical="center" wrapText="1"/>
    </xf>
    <xf numFmtId="166" fontId="5" fillId="0" borderId="1" xfId="0" applyNumberFormat="1" applyFont="1" applyBorder="1" applyAlignment="1" applyProtection="1">
      <alignment horizontal="right" vertical="center" wrapText="1"/>
    </xf>
    <xf numFmtId="9" fontId="5" fillId="0" borderId="1" xfId="0" applyNumberFormat="1" applyFont="1" applyBorder="1" applyAlignment="1" applyProtection="1">
      <alignment horizontal="right" vertical="center" wrapText="1"/>
    </xf>
    <xf numFmtId="0" fontId="0" fillId="0" borderId="0" xfId="0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6" borderId="1" xfId="0" applyFont="1" applyFill="1" applyBorder="1" applyAlignment="1" applyProtection="1">
      <alignment horizontal="center" textRotation="90" wrapText="1"/>
    </xf>
    <xf numFmtId="0" fontId="7" fillId="8" borderId="0" xfId="0" applyFont="1" applyFill="1" applyAlignment="1" applyProtection="1">
      <alignment horizontal="center" vertical="top" wrapText="1"/>
    </xf>
    <xf numFmtId="0" fontId="3" fillId="8" borderId="1" xfId="0" applyFont="1" applyFill="1" applyBorder="1" applyAlignment="1" applyProtection="1">
      <alignment horizont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75"/>
  <sheetViews>
    <sheetView tabSelected="1" zoomScale="80" zoomScaleNormal="80" workbookViewId="0">
      <pane ySplit="3" topLeftCell="A4" activePane="bottomLeft" state="frozen"/>
      <selection pane="bottomLeft" activeCell="A4" sqref="A4"/>
    </sheetView>
  </sheetViews>
  <sheetFormatPr defaultRowHeight="15" customHeight="1" x14ac:dyDescent="0.2"/>
  <cols>
    <col min="1" max="1" width="53.7109375" style="36" customWidth="1"/>
    <col min="2" max="2" width="12.140625" style="36" customWidth="1"/>
    <col min="3" max="3" width="23.85546875" style="36" customWidth="1"/>
    <col min="4" max="4" width="10.140625" style="36" customWidth="1"/>
    <col min="5" max="5" width="10.5703125" style="36" customWidth="1"/>
    <col min="6" max="6" width="13.5703125" style="36" customWidth="1"/>
    <col min="7" max="7" width="20.7109375" style="36" customWidth="1"/>
    <col min="8" max="8" width="10.140625" style="36" customWidth="1"/>
    <col min="9" max="9" width="15.7109375" style="36" customWidth="1"/>
    <col min="10" max="10" width="10.140625" style="36" customWidth="1"/>
    <col min="11" max="11" width="21.42578125" style="36" customWidth="1"/>
    <col min="12" max="12" width="12.42578125" style="36" customWidth="1"/>
    <col min="13" max="13" width="22.42578125" style="36" customWidth="1"/>
    <col min="14" max="28" width="10.140625" style="36" customWidth="1"/>
    <col min="29" max="30" width="10.140625" style="36" bestFit="1" customWidth="1"/>
    <col min="31" max="31" width="10.140625" style="36" customWidth="1"/>
    <col min="32" max="32" width="10.140625" style="36" bestFit="1" customWidth="1"/>
    <col min="33" max="33" width="10.140625" style="36" customWidth="1"/>
    <col min="34" max="34" width="10.85546875" style="36" customWidth="1"/>
    <col min="35" max="36" width="10.140625" style="36" customWidth="1"/>
    <col min="40" max="16384" width="9.140625" style="36"/>
  </cols>
  <sheetData>
    <row r="1" spans="1:36" s="47" customFormat="1" ht="25.5" x14ac:dyDescent="0.2">
      <c r="A1" s="48" t="s">
        <v>554</v>
      </c>
      <c r="B1" s="101" t="s">
        <v>555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78" t="s">
        <v>556</v>
      </c>
      <c r="N1" s="78"/>
      <c r="O1" s="78"/>
      <c r="P1" s="78"/>
      <c r="Q1" s="78"/>
      <c r="R1" s="78"/>
      <c r="S1" s="79" t="s">
        <v>557</v>
      </c>
      <c r="T1" s="80"/>
      <c r="U1" s="80"/>
      <c r="V1" s="80"/>
      <c r="W1" s="80"/>
      <c r="X1" s="80"/>
      <c r="Y1" s="80"/>
      <c r="Z1" s="81" t="s">
        <v>596</v>
      </c>
      <c r="AA1" s="81"/>
      <c r="AB1" s="81"/>
      <c r="AC1" s="80" t="s">
        <v>601</v>
      </c>
      <c r="AD1" s="80"/>
      <c r="AE1" s="80"/>
      <c r="AF1" s="80"/>
      <c r="AG1" s="77" t="s">
        <v>652</v>
      </c>
      <c r="AH1" s="77"/>
      <c r="AI1" s="77"/>
      <c r="AJ1" s="77"/>
    </row>
    <row r="3" spans="1:36" s="26" customFormat="1" ht="62.25" customHeight="1" x14ac:dyDescent="0.2">
      <c r="A3" s="100" t="s">
        <v>0</v>
      </c>
      <c r="B3" s="102" t="s">
        <v>515</v>
      </c>
      <c r="C3" s="102" t="s">
        <v>109</v>
      </c>
      <c r="D3" s="102" t="s">
        <v>532</v>
      </c>
      <c r="E3" s="102" t="s">
        <v>419</v>
      </c>
      <c r="F3" s="102" t="s">
        <v>479</v>
      </c>
      <c r="G3" s="102" t="s">
        <v>439</v>
      </c>
      <c r="H3" s="102" t="s">
        <v>533</v>
      </c>
      <c r="I3" s="102" t="s">
        <v>645</v>
      </c>
      <c r="J3" s="102" t="s">
        <v>646</v>
      </c>
      <c r="K3" s="102" t="s">
        <v>644</v>
      </c>
      <c r="L3" s="102" t="s">
        <v>424</v>
      </c>
      <c r="M3" s="23" t="s">
        <v>647</v>
      </c>
      <c r="N3" s="23" t="s">
        <v>509</v>
      </c>
      <c r="O3" s="23" t="s">
        <v>510</v>
      </c>
      <c r="P3" s="23" t="s">
        <v>648</v>
      </c>
      <c r="Q3" s="23" t="s">
        <v>511</v>
      </c>
      <c r="R3" s="23" t="s">
        <v>512</v>
      </c>
      <c r="S3" s="24" t="s">
        <v>535</v>
      </c>
      <c r="T3" s="24" t="s">
        <v>534</v>
      </c>
      <c r="U3" s="24" t="s">
        <v>649</v>
      </c>
      <c r="V3" s="24" t="s">
        <v>536</v>
      </c>
      <c r="W3" s="24" t="s">
        <v>650</v>
      </c>
      <c r="X3" s="24" t="s">
        <v>651</v>
      </c>
      <c r="Y3" s="24" t="s">
        <v>597</v>
      </c>
      <c r="Z3" s="25" t="s">
        <v>507</v>
      </c>
      <c r="AA3" s="25" t="s">
        <v>508</v>
      </c>
      <c r="AB3" s="25" t="s">
        <v>567</v>
      </c>
      <c r="AC3" s="24" t="s">
        <v>537</v>
      </c>
      <c r="AD3" s="24" t="s">
        <v>538</v>
      </c>
      <c r="AE3" s="24" t="s">
        <v>568</v>
      </c>
      <c r="AF3" s="24" t="s">
        <v>569</v>
      </c>
      <c r="AG3" s="64" t="s">
        <v>562</v>
      </c>
      <c r="AH3" s="64" t="s">
        <v>563</v>
      </c>
      <c r="AI3" s="64" t="s">
        <v>564</v>
      </c>
      <c r="AJ3" s="64" t="s">
        <v>566</v>
      </c>
    </row>
    <row r="4" spans="1:36" ht="15" customHeight="1" x14ac:dyDescent="0.2">
      <c r="A4" s="27" t="s">
        <v>127</v>
      </c>
      <c r="B4" s="27"/>
      <c r="C4" s="28" t="s">
        <v>117</v>
      </c>
      <c r="D4" s="28">
        <v>3</v>
      </c>
      <c r="E4" s="27"/>
      <c r="F4" s="27"/>
      <c r="G4" s="27" t="s">
        <v>138</v>
      </c>
      <c r="H4" s="27">
        <v>9</v>
      </c>
      <c r="I4" s="27" t="s">
        <v>619</v>
      </c>
      <c r="J4" s="27">
        <v>9</v>
      </c>
      <c r="K4" s="27">
        <v>3</v>
      </c>
      <c r="L4" s="27">
        <v>1</v>
      </c>
      <c r="M4" s="29">
        <v>10</v>
      </c>
      <c r="N4" s="30">
        <v>12</v>
      </c>
      <c r="O4" s="30">
        <v>30</v>
      </c>
      <c r="P4" s="30">
        <v>0</v>
      </c>
      <c r="Q4" s="30">
        <v>38</v>
      </c>
      <c r="R4" s="30">
        <v>68</v>
      </c>
      <c r="S4" s="31">
        <f>R4/N4</f>
        <v>5.666666666666667</v>
      </c>
      <c r="T4" s="32">
        <f>O4/R4</f>
        <v>0.44117647058823528</v>
      </c>
      <c r="U4" s="32">
        <f>P4/R4</f>
        <v>0</v>
      </c>
      <c r="V4" s="32">
        <f>Q4/R4</f>
        <v>0.55882352941176472</v>
      </c>
      <c r="W4" s="31">
        <f>P4/O4</f>
        <v>0</v>
      </c>
      <c r="X4" s="31">
        <f>Q4/(O4+P4)</f>
        <v>1.2666666666666666</v>
      </c>
      <c r="Y4" s="65">
        <f>R4/R$488</f>
        <v>1.9753717620606614E-4</v>
      </c>
      <c r="Z4" s="33">
        <v>72</v>
      </c>
      <c r="AA4" s="33">
        <v>75</v>
      </c>
      <c r="AB4" s="29">
        <v>77</v>
      </c>
      <c r="AC4" s="34">
        <f>Z4/R4</f>
        <v>1.0588235294117647</v>
      </c>
      <c r="AD4" s="34">
        <f>AA4/Z4</f>
        <v>1.0416666666666667</v>
      </c>
      <c r="AE4" s="34">
        <f>AB4/AA4</f>
        <v>1.0266666666666666</v>
      </c>
      <c r="AF4" s="35">
        <f>AB4/R4</f>
        <v>1.1323529411764706</v>
      </c>
      <c r="AG4" s="29">
        <f>0.6*Z4+0.4*AA4</f>
        <v>73.199999999999989</v>
      </c>
      <c r="AH4" s="54">
        <v>424</v>
      </c>
      <c r="AI4" s="59">
        <f>AH4/AG4</f>
        <v>5.7923497267759574</v>
      </c>
      <c r="AJ4" s="61">
        <f>AI4/AI$488</f>
        <v>1.2308993764594998</v>
      </c>
    </row>
    <row r="5" spans="1:36" ht="15" customHeight="1" x14ac:dyDescent="0.2">
      <c r="A5" s="28" t="s">
        <v>255</v>
      </c>
      <c r="B5" s="28"/>
      <c r="C5" s="28" t="s">
        <v>123</v>
      </c>
      <c r="D5" s="28">
        <v>23</v>
      </c>
      <c r="E5" s="27"/>
      <c r="F5" s="27"/>
      <c r="G5" s="27" t="s">
        <v>30</v>
      </c>
      <c r="H5" s="27">
        <v>8</v>
      </c>
      <c r="I5" s="27" t="s">
        <v>619</v>
      </c>
      <c r="J5" s="27">
        <v>9</v>
      </c>
      <c r="K5" s="27">
        <v>1</v>
      </c>
      <c r="L5" s="27">
        <v>2</v>
      </c>
      <c r="M5" s="29">
        <v>59</v>
      </c>
      <c r="N5" s="30">
        <v>59</v>
      </c>
      <c r="O5" s="30">
        <v>305</v>
      </c>
      <c r="P5" s="30">
        <v>8</v>
      </c>
      <c r="Q5" s="30">
        <v>0</v>
      </c>
      <c r="R5" s="30">
        <v>313</v>
      </c>
      <c r="S5" s="31">
        <f>R5/N5</f>
        <v>5.3050847457627119</v>
      </c>
      <c r="T5" s="32">
        <f>O5/R5</f>
        <v>0.9744408945686901</v>
      </c>
      <c r="U5" s="32">
        <f>P5/R5</f>
        <v>2.5559105431309903E-2</v>
      </c>
      <c r="V5" s="32">
        <f>Q5/R5</f>
        <v>0</v>
      </c>
      <c r="W5" s="31">
        <f>P5/O5</f>
        <v>2.6229508196721311E-2</v>
      </c>
      <c r="X5" s="31">
        <f>Q5/(O5+P5)</f>
        <v>0</v>
      </c>
      <c r="Y5" s="65">
        <f>R5/R$488</f>
        <v>9.0925200224262789E-4</v>
      </c>
      <c r="Z5" s="33">
        <v>321</v>
      </c>
      <c r="AA5" s="33">
        <v>386</v>
      </c>
      <c r="AB5" s="29">
        <v>387</v>
      </c>
      <c r="AC5" s="34">
        <f>Z5/R5</f>
        <v>1.02555910543131</v>
      </c>
      <c r="AD5" s="34">
        <f>AA5/Z5</f>
        <v>1.2024922118380061</v>
      </c>
      <c r="AE5" s="34">
        <f>AB5/AA5</f>
        <v>1.0025906735751295</v>
      </c>
      <c r="AF5" s="35">
        <f>AB5/R5</f>
        <v>1.2364217252396166</v>
      </c>
      <c r="AG5" s="29">
        <f>0.6*Z5+0.4*AA5</f>
        <v>347</v>
      </c>
      <c r="AH5" s="54">
        <v>2481</v>
      </c>
      <c r="AI5" s="59">
        <f>AH5/AG5</f>
        <v>7.1498559077809798</v>
      </c>
      <c r="AJ5" s="61">
        <f>AI5/AI$488</f>
        <v>1.5193753129201006</v>
      </c>
    </row>
    <row r="6" spans="1:36" ht="15" customHeight="1" x14ac:dyDescent="0.2">
      <c r="A6" s="27" t="s">
        <v>211</v>
      </c>
      <c r="B6" s="27"/>
      <c r="C6" s="28" t="s">
        <v>113</v>
      </c>
      <c r="D6" s="28">
        <v>16</v>
      </c>
      <c r="E6" s="27"/>
      <c r="F6" s="27"/>
      <c r="G6" s="27" t="s">
        <v>73</v>
      </c>
      <c r="H6" s="27">
        <v>11</v>
      </c>
      <c r="I6" s="27" t="s">
        <v>111</v>
      </c>
      <c r="J6" s="27">
        <v>5</v>
      </c>
      <c r="K6" s="27">
        <v>4</v>
      </c>
      <c r="L6" s="27">
        <v>4</v>
      </c>
      <c r="M6" s="29">
        <v>95</v>
      </c>
      <c r="N6" s="30">
        <v>95</v>
      </c>
      <c r="O6" s="30">
        <v>101</v>
      </c>
      <c r="P6" s="30">
        <v>122</v>
      </c>
      <c r="Q6" s="30">
        <v>166</v>
      </c>
      <c r="R6" s="30">
        <v>389</v>
      </c>
      <c r="S6" s="31">
        <f>R6/N6</f>
        <v>4.094736842105263</v>
      </c>
      <c r="T6" s="32">
        <f>O6/R6</f>
        <v>0.25964010282776351</v>
      </c>
      <c r="U6" s="32">
        <f>P6/R6</f>
        <v>0.31362467866323906</v>
      </c>
      <c r="V6" s="32">
        <f>Q6/R6</f>
        <v>0.42673521850899743</v>
      </c>
      <c r="W6" s="31">
        <f>P6/O6</f>
        <v>1.2079207920792079</v>
      </c>
      <c r="X6" s="31">
        <f>Q6/(O6+P6)</f>
        <v>0.74439461883408076</v>
      </c>
      <c r="Y6" s="65">
        <f>R6/R$488</f>
        <v>1.130028846237643E-3</v>
      </c>
      <c r="Z6" s="33">
        <v>379</v>
      </c>
      <c r="AA6" s="33">
        <v>437</v>
      </c>
      <c r="AB6" s="29">
        <v>442</v>
      </c>
      <c r="AC6" s="34">
        <f>Z6/R6</f>
        <v>0.97429305912596398</v>
      </c>
      <c r="AD6" s="34">
        <f>AA6/Z6</f>
        <v>1.1530343007915567</v>
      </c>
      <c r="AE6" s="34">
        <f>AB6/AA6</f>
        <v>1.0114416475972541</v>
      </c>
      <c r="AF6" s="35">
        <f>AB6/R6</f>
        <v>1.1362467866323906</v>
      </c>
      <c r="AG6" s="29">
        <f>0.6*Z6+0.4*AA6</f>
        <v>402.20000000000005</v>
      </c>
      <c r="AH6" s="54">
        <v>2902</v>
      </c>
      <c r="AI6" s="59">
        <f>AH6/AG6</f>
        <v>7.215315763301839</v>
      </c>
      <c r="AJ6" s="61">
        <f>AI6/AI$488</f>
        <v>1.5332858154181261</v>
      </c>
    </row>
    <row r="7" spans="1:36" ht="15" customHeight="1" x14ac:dyDescent="0.2">
      <c r="A7" s="28" t="s">
        <v>63</v>
      </c>
      <c r="B7" s="28"/>
      <c r="C7" s="27" t="s">
        <v>116</v>
      </c>
      <c r="D7" s="27">
        <v>32</v>
      </c>
      <c r="E7" s="27"/>
      <c r="F7" s="27"/>
      <c r="G7" s="27" t="s">
        <v>106</v>
      </c>
      <c r="H7" s="27">
        <v>12</v>
      </c>
      <c r="I7" s="27" t="s">
        <v>12</v>
      </c>
      <c r="J7" s="27">
        <v>1</v>
      </c>
      <c r="K7" s="27">
        <v>6</v>
      </c>
      <c r="L7" s="27">
        <v>2</v>
      </c>
      <c r="M7" s="29">
        <v>98</v>
      </c>
      <c r="N7" s="30">
        <v>184</v>
      </c>
      <c r="O7" s="30">
        <v>114</v>
      </c>
      <c r="P7" s="30">
        <v>42</v>
      </c>
      <c r="Q7" s="30">
        <v>689</v>
      </c>
      <c r="R7" s="30">
        <v>845</v>
      </c>
      <c r="S7" s="31">
        <f>R7/N7</f>
        <v>4.5923913043478262</v>
      </c>
      <c r="T7" s="32">
        <f>O7/R7</f>
        <v>0.13491124260355031</v>
      </c>
      <c r="U7" s="32">
        <f>P7/R7</f>
        <v>4.9704142011834318E-2</v>
      </c>
      <c r="V7" s="32">
        <f>Q7/R7</f>
        <v>0.81538461538461537</v>
      </c>
      <c r="W7" s="31">
        <f>P7/O7</f>
        <v>0.36842105263157893</v>
      </c>
      <c r="X7" s="31">
        <f>Q7/(O7+P7)</f>
        <v>4.416666666666667</v>
      </c>
      <c r="Y7" s="65">
        <f>R7/R$488</f>
        <v>2.4546899102077338E-3</v>
      </c>
      <c r="Z7" s="33">
        <v>911</v>
      </c>
      <c r="AA7" s="29">
        <v>1070</v>
      </c>
      <c r="AB7" s="29">
        <v>1236</v>
      </c>
      <c r="AC7" s="34">
        <f>Z7/R7</f>
        <v>1.0781065088757396</v>
      </c>
      <c r="AD7" s="34">
        <f>AA7/Z7</f>
        <v>1.1745334796926454</v>
      </c>
      <c r="AE7" s="34">
        <f>AB7/AA7</f>
        <v>1.1551401869158879</v>
      </c>
      <c r="AF7" s="35">
        <f>AB7/R7</f>
        <v>1.4627218934911244</v>
      </c>
      <c r="AG7" s="29">
        <f>0.6*Z7+0.4*AA7</f>
        <v>974.6</v>
      </c>
      <c r="AH7" s="66">
        <v>6999</v>
      </c>
      <c r="AI7" s="59">
        <f>AH7/AG7</f>
        <v>7.1814077570285244</v>
      </c>
      <c r="AJ7" s="61">
        <f>AI7/AI$488</f>
        <v>1.5260802173883885</v>
      </c>
    </row>
    <row r="8" spans="1:36" ht="15" customHeight="1" x14ac:dyDescent="0.2">
      <c r="A8" s="27" t="s">
        <v>376</v>
      </c>
      <c r="B8" s="27"/>
      <c r="C8" s="27" t="s">
        <v>327</v>
      </c>
      <c r="D8" s="27">
        <v>12</v>
      </c>
      <c r="E8" s="27"/>
      <c r="F8" s="27"/>
      <c r="G8" s="27" t="s">
        <v>30</v>
      </c>
      <c r="H8" s="27">
        <v>8</v>
      </c>
      <c r="I8" s="27" t="s">
        <v>619</v>
      </c>
      <c r="J8" s="27">
        <v>9</v>
      </c>
      <c r="K8" s="27">
        <v>1</v>
      </c>
      <c r="L8" s="27">
        <v>3</v>
      </c>
      <c r="M8" s="38">
        <v>52</v>
      </c>
      <c r="N8" s="30">
        <v>52</v>
      </c>
      <c r="O8" s="30">
        <v>161</v>
      </c>
      <c r="P8" s="30">
        <v>7</v>
      </c>
      <c r="Q8" s="30">
        <v>110</v>
      </c>
      <c r="R8" s="30">
        <v>278</v>
      </c>
      <c r="S8" s="31">
        <f>R8/N8</f>
        <v>5.3461538461538458</v>
      </c>
      <c r="T8" s="32">
        <f>O8/R8</f>
        <v>0.57913669064748197</v>
      </c>
      <c r="U8" s="32">
        <f>P8/R8</f>
        <v>2.5179856115107913E-2</v>
      </c>
      <c r="V8" s="32">
        <f>Q8/R8</f>
        <v>0.39568345323741005</v>
      </c>
      <c r="W8" s="31">
        <f>P8/O8</f>
        <v>4.3478260869565216E-2</v>
      </c>
      <c r="X8" s="31">
        <f>Q8/(O8+P8)</f>
        <v>0.65476190476190477</v>
      </c>
      <c r="Y8" s="65">
        <f>R8/R$488</f>
        <v>8.0757845566597629E-4</v>
      </c>
      <c r="Z8" s="33">
        <v>257</v>
      </c>
      <c r="AA8" s="33">
        <v>334</v>
      </c>
      <c r="AB8" s="29">
        <v>339</v>
      </c>
      <c r="AC8" s="34">
        <f>Z8/R8</f>
        <v>0.92446043165467628</v>
      </c>
      <c r="AD8" s="34">
        <f>AA8/Z8</f>
        <v>1.2996108949416343</v>
      </c>
      <c r="AE8" s="34">
        <f>AB8/AA8</f>
        <v>1.0149700598802396</v>
      </c>
      <c r="AF8" s="35">
        <f>AB8/R8</f>
        <v>1.2194244604316546</v>
      </c>
      <c r="AG8" s="29">
        <f>0.6*Z8+0.4*AA8</f>
        <v>287.79999999999995</v>
      </c>
      <c r="AH8" s="54">
        <v>1431</v>
      </c>
      <c r="AI8" s="59">
        <f>AH8/AG8</f>
        <v>4.9722029186935384</v>
      </c>
      <c r="AJ8" s="61">
        <f>AI8/AI$488</f>
        <v>1.0566146315299494</v>
      </c>
    </row>
    <row r="9" spans="1:36" ht="15" customHeight="1" x14ac:dyDescent="0.2">
      <c r="A9" s="28" t="s">
        <v>256</v>
      </c>
      <c r="B9" s="28"/>
      <c r="C9" s="28" t="s">
        <v>123</v>
      </c>
      <c r="D9" s="28">
        <v>23</v>
      </c>
      <c r="E9" s="27"/>
      <c r="F9" s="27"/>
      <c r="G9" s="27" t="s">
        <v>30</v>
      </c>
      <c r="H9" s="27">
        <v>8</v>
      </c>
      <c r="I9" s="27" t="s">
        <v>619</v>
      </c>
      <c r="J9" s="27">
        <v>9</v>
      </c>
      <c r="K9" s="27">
        <v>1</v>
      </c>
      <c r="L9" s="27">
        <v>1</v>
      </c>
      <c r="M9" s="29">
        <v>56</v>
      </c>
      <c r="N9" s="30">
        <v>61</v>
      </c>
      <c r="O9" s="30">
        <v>83</v>
      </c>
      <c r="P9" s="30">
        <v>21</v>
      </c>
      <c r="Q9" s="30">
        <v>206</v>
      </c>
      <c r="R9" s="30">
        <v>310</v>
      </c>
      <c r="S9" s="31">
        <f>R9/N9</f>
        <v>5.081967213114754</v>
      </c>
      <c r="T9" s="32">
        <f>O9/R9</f>
        <v>0.26774193548387099</v>
      </c>
      <c r="U9" s="32">
        <f>P9/R9</f>
        <v>6.7741935483870974E-2</v>
      </c>
      <c r="V9" s="32">
        <f>Q9/R9</f>
        <v>0.6645161290322581</v>
      </c>
      <c r="W9" s="31">
        <f>P9/O9</f>
        <v>0.25301204819277107</v>
      </c>
      <c r="X9" s="31">
        <f>Q9/(O9+P9)</f>
        <v>1.9807692307692308</v>
      </c>
      <c r="Y9" s="65">
        <f>R9/R$488</f>
        <v>9.0053712682177213E-4</v>
      </c>
      <c r="Z9" s="33">
        <v>359</v>
      </c>
      <c r="AA9" s="33">
        <v>386</v>
      </c>
      <c r="AB9" s="29">
        <v>486</v>
      </c>
      <c r="AC9" s="34">
        <f>Z9/R9</f>
        <v>1.1580645161290322</v>
      </c>
      <c r="AD9" s="34">
        <f>AA9/Z9</f>
        <v>1.075208913649025</v>
      </c>
      <c r="AE9" s="34">
        <f>AB9/AA9</f>
        <v>1.2590673575129534</v>
      </c>
      <c r="AF9" s="35">
        <f>AB9/R9</f>
        <v>1.5677419354838709</v>
      </c>
      <c r="AG9" s="29">
        <f>0.6*Z9+0.4*AA9</f>
        <v>369.8</v>
      </c>
      <c r="AH9" s="54">
        <v>2303</v>
      </c>
      <c r="AI9" s="59">
        <f>AH9/AG9</f>
        <v>6.2276906435911306</v>
      </c>
      <c r="AJ9" s="61">
        <f>AI9/AI$488</f>
        <v>1.3234112047039186</v>
      </c>
    </row>
    <row r="10" spans="1:36" ht="15" customHeight="1" x14ac:dyDescent="0.2">
      <c r="A10" s="27" t="s">
        <v>393</v>
      </c>
      <c r="B10" s="27"/>
      <c r="C10" s="27" t="s">
        <v>331</v>
      </c>
      <c r="D10" s="27">
        <v>24</v>
      </c>
      <c r="E10" s="27"/>
      <c r="F10" s="27"/>
      <c r="G10" s="27" t="s">
        <v>331</v>
      </c>
      <c r="H10" s="27">
        <v>17</v>
      </c>
      <c r="I10" s="27" t="s">
        <v>620</v>
      </c>
      <c r="J10" s="27">
        <v>10</v>
      </c>
      <c r="K10" s="27">
        <v>1</v>
      </c>
      <c r="L10" s="27">
        <v>5</v>
      </c>
      <c r="M10" s="29">
        <v>37</v>
      </c>
      <c r="N10" s="30">
        <v>42</v>
      </c>
      <c r="O10" s="30">
        <v>87</v>
      </c>
      <c r="P10" s="30">
        <v>24</v>
      </c>
      <c r="Q10" s="30">
        <v>96</v>
      </c>
      <c r="R10" s="30">
        <v>207</v>
      </c>
      <c r="S10" s="31">
        <f>R10/N10</f>
        <v>4.9285714285714288</v>
      </c>
      <c r="T10" s="32">
        <f>O10/R10</f>
        <v>0.42028985507246375</v>
      </c>
      <c r="U10" s="32">
        <f>P10/R10</f>
        <v>0.11594202898550725</v>
      </c>
      <c r="V10" s="32">
        <f>Q10/R10</f>
        <v>0.46376811594202899</v>
      </c>
      <c r="W10" s="31">
        <f>P10/O10</f>
        <v>0.27586206896551724</v>
      </c>
      <c r="X10" s="31">
        <f>Q10/(O10+P10)</f>
        <v>0.86486486486486491</v>
      </c>
      <c r="Y10" s="65">
        <f>R10/R$488</f>
        <v>6.0132640403905428E-4</v>
      </c>
      <c r="Z10" s="33">
        <v>157</v>
      </c>
      <c r="AA10" s="33">
        <v>177</v>
      </c>
      <c r="AB10" s="29">
        <v>235</v>
      </c>
      <c r="AC10" s="34">
        <f>Z10/R10</f>
        <v>0.75845410628019327</v>
      </c>
      <c r="AD10" s="34">
        <f>AA10/Z10</f>
        <v>1.1273885350318471</v>
      </c>
      <c r="AE10" s="34">
        <f>AB10/AA10</f>
        <v>1.3276836158192091</v>
      </c>
      <c r="AF10" s="35">
        <f>AB10/R10</f>
        <v>1.1352657004830917</v>
      </c>
      <c r="AG10" s="29">
        <f>0.6*Z10+0.4*AA10</f>
        <v>165</v>
      </c>
      <c r="AH10" s="54">
        <v>1709</v>
      </c>
      <c r="AI10" s="59">
        <f>AH10/AG10</f>
        <v>10.357575757575757</v>
      </c>
      <c r="AJ10" s="61">
        <f>AI10/AI$488</f>
        <v>2.2010296586025109</v>
      </c>
    </row>
    <row r="11" spans="1:36" ht="15" customHeight="1" x14ac:dyDescent="0.2">
      <c r="A11" s="28" t="s">
        <v>39</v>
      </c>
      <c r="B11" s="28"/>
      <c r="C11" s="28" t="s">
        <v>111</v>
      </c>
      <c r="D11" s="28">
        <v>28</v>
      </c>
      <c r="E11" s="27" t="s">
        <v>420</v>
      </c>
      <c r="F11" s="27"/>
      <c r="G11" s="27" t="s">
        <v>426</v>
      </c>
      <c r="H11" s="27">
        <v>13</v>
      </c>
      <c r="I11" s="27" t="s">
        <v>111</v>
      </c>
      <c r="J11" s="27">
        <v>5</v>
      </c>
      <c r="K11" s="27">
        <v>4</v>
      </c>
      <c r="L11" s="27">
        <v>3</v>
      </c>
      <c r="M11" s="29">
        <v>369</v>
      </c>
      <c r="N11" s="30">
        <v>664</v>
      </c>
      <c r="O11" s="30">
        <v>141</v>
      </c>
      <c r="P11" s="30">
        <v>267</v>
      </c>
      <c r="Q11" s="30">
        <v>2672</v>
      </c>
      <c r="R11" s="30">
        <v>3080</v>
      </c>
      <c r="S11" s="31">
        <f>R11/N11</f>
        <v>4.6385542168674698</v>
      </c>
      <c r="T11" s="32">
        <f>O11/R11</f>
        <v>4.5779220779220781E-2</v>
      </c>
      <c r="U11" s="32">
        <f>P11/R11</f>
        <v>8.6688311688311689E-2</v>
      </c>
      <c r="V11" s="32">
        <f>Q11/R11</f>
        <v>0.86753246753246749</v>
      </c>
      <c r="W11" s="31">
        <f>P11/O11</f>
        <v>1.8936170212765957</v>
      </c>
      <c r="X11" s="31">
        <f>Q11/(O11+P11)</f>
        <v>6.5490196078431371</v>
      </c>
      <c r="Y11" s="65">
        <f>R11/R$488</f>
        <v>8.9472720987453479E-3</v>
      </c>
      <c r="Z11" s="29">
        <v>3053</v>
      </c>
      <c r="AA11" s="29">
        <v>3403</v>
      </c>
      <c r="AB11" s="29">
        <v>4165</v>
      </c>
      <c r="AC11" s="34">
        <f>Z11/R11</f>
        <v>0.99123376623376624</v>
      </c>
      <c r="AD11" s="34">
        <f>AA11/Z11</f>
        <v>1.1146413363904357</v>
      </c>
      <c r="AE11" s="34">
        <f>AB11/AA11</f>
        <v>1.2239200705260065</v>
      </c>
      <c r="AF11" s="35">
        <f>AB11/R11</f>
        <v>1.3522727272727273</v>
      </c>
      <c r="AG11" s="29">
        <f>0.6*Z11+0.4*AA11</f>
        <v>3193</v>
      </c>
      <c r="AH11" s="54">
        <v>7848</v>
      </c>
      <c r="AI11" s="59">
        <f>AH11/AG11</f>
        <v>2.4578766050735985</v>
      </c>
      <c r="AJ11" s="61">
        <f>AI11/AI$488</f>
        <v>0.52230941212236381</v>
      </c>
    </row>
    <row r="12" spans="1:36" ht="15" customHeight="1" x14ac:dyDescent="0.2">
      <c r="A12" s="27" t="s">
        <v>128</v>
      </c>
      <c r="B12" s="27"/>
      <c r="C12" s="28" t="s">
        <v>117</v>
      </c>
      <c r="D12" s="28">
        <v>3</v>
      </c>
      <c r="E12" s="27"/>
      <c r="F12" s="27"/>
      <c r="G12" s="27" t="s">
        <v>4</v>
      </c>
      <c r="H12" s="27">
        <v>14</v>
      </c>
      <c r="I12" s="27" t="s">
        <v>622</v>
      </c>
      <c r="J12" s="27">
        <v>8</v>
      </c>
      <c r="K12" s="27">
        <v>3</v>
      </c>
      <c r="L12" s="27">
        <v>3</v>
      </c>
      <c r="M12" s="29">
        <v>4</v>
      </c>
      <c r="N12" s="30">
        <v>4</v>
      </c>
      <c r="O12" s="30">
        <v>20</v>
      </c>
      <c r="P12" s="30">
        <v>0</v>
      </c>
      <c r="Q12" s="30">
        <v>21</v>
      </c>
      <c r="R12" s="30">
        <v>41</v>
      </c>
      <c r="S12" s="31">
        <f>R12/N12</f>
        <v>10.25</v>
      </c>
      <c r="T12" s="32">
        <f>O12/R12</f>
        <v>0.48780487804878048</v>
      </c>
      <c r="U12" s="32">
        <f>P12/R12</f>
        <v>0</v>
      </c>
      <c r="V12" s="32">
        <f>Q12/R12</f>
        <v>0.51219512195121952</v>
      </c>
      <c r="W12" s="31">
        <f>P12/O12</f>
        <v>0</v>
      </c>
      <c r="X12" s="31">
        <f>Q12/(O12+P12)</f>
        <v>1.05</v>
      </c>
      <c r="Y12" s="65">
        <f>R12/R$488</f>
        <v>1.191032974183634E-4</v>
      </c>
      <c r="Z12" s="33">
        <v>72</v>
      </c>
      <c r="AA12" s="33">
        <v>74</v>
      </c>
      <c r="AB12" s="29">
        <v>74</v>
      </c>
      <c r="AC12" s="34">
        <f>Z12/R12</f>
        <v>1.7560975609756098</v>
      </c>
      <c r="AD12" s="34">
        <f>AA12/Z12</f>
        <v>1.0277777777777777</v>
      </c>
      <c r="AE12" s="34">
        <f>AB12/AA12</f>
        <v>1</v>
      </c>
      <c r="AF12" s="35">
        <f>AB12/R12</f>
        <v>1.8048780487804879</v>
      </c>
      <c r="AG12" s="29">
        <f>0.6*Z12+0.4*AA12</f>
        <v>72.8</v>
      </c>
      <c r="AH12" s="54">
        <v>508</v>
      </c>
      <c r="AI12" s="59">
        <f>AH12/AG12</f>
        <v>6.9780219780219781</v>
      </c>
      <c r="AJ12" s="61">
        <f>AI12/AI$488</f>
        <v>1.4828598594388986</v>
      </c>
    </row>
    <row r="13" spans="1:36" ht="15" customHeight="1" x14ac:dyDescent="0.2">
      <c r="A13" s="27" t="s">
        <v>192</v>
      </c>
      <c r="B13" s="27"/>
      <c r="C13" s="28" t="s">
        <v>35</v>
      </c>
      <c r="D13" s="28">
        <v>11</v>
      </c>
      <c r="E13" s="27"/>
      <c r="F13" s="27"/>
      <c r="G13" s="27" t="s">
        <v>106</v>
      </c>
      <c r="H13" s="27">
        <v>12</v>
      </c>
      <c r="I13" s="27" t="s">
        <v>111</v>
      </c>
      <c r="J13" s="27">
        <v>5</v>
      </c>
      <c r="K13" s="27">
        <v>6</v>
      </c>
      <c r="L13" s="27">
        <v>1</v>
      </c>
      <c r="M13" s="29">
        <v>51</v>
      </c>
      <c r="N13" s="30">
        <v>57</v>
      </c>
      <c r="O13" s="30">
        <v>124</v>
      </c>
      <c r="P13" s="30">
        <v>8</v>
      </c>
      <c r="Q13" s="30">
        <v>148</v>
      </c>
      <c r="R13" s="30">
        <v>280</v>
      </c>
      <c r="S13" s="31">
        <f>R13/N13</f>
        <v>4.9122807017543861</v>
      </c>
      <c r="T13" s="32">
        <f>O13/R13</f>
        <v>0.44285714285714284</v>
      </c>
      <c r="U13" s="32">
        <f>P13/R13</f>
        <v>2.8571428571428571E-2</v>
      </c>
      <c r="V13" s="32">
        <f>Q13/R13</f>
        <v>0.52857142857142858</v>
      </c>
      <c r="W13" s="31">
        <f>P13/O13</f>
        <v>6.4516129032258063E-2</v>
      </c>
      <c r="X13" s="31">
        <f>Q13/(O13+P13)</f>
        <v>1.1212121212121211</v>
      </c>
      <c r="Y13" s="65">
        <f>R13/R$488</f>
        <v>8.1338837261321346E-4</v>
      </c>
      <c r="Z13" s="33">
        <v>272</v>
      </c>
      <c r="AA13" s="33">
        <v>283</v>
      </c>
      <c r="AB13" s="29">
        <v>320</v>
      </c>
      <c r="AC13" s="34">
        <f>Z13/R13</f>
        <v>0.97142857142857142</v>
      </c>
      <c r="AD13" s="34">
        <f>AA13/Z13</f>
        <v>1.0404411764705883</v>
      </c>
      <c r="AE13" s="34">
        <f>AB13/AA13</f>
        <v>1.1307420494699647</v>
      </c>
      <c r="AF13" s="35">
        <f>AB13/R13</f>
        <v>1.1428571428571428</v>
      </c>
      <c r="AG13" s="29">
        <f>0.6*Z13+0.4*AA13</f>
        <v>276.39999999999998</v>
      </c>
      <c r="AH13" s="54">
        <v>1341</v>
      </c>
      <c r="AI13" s="59">
        <f>AH13/AG13</f>
        <v>4.8516642547033291</v>
      </c>
      <c r="AJ13" s="61">
        <f>AI13/AI$488</f>
        <v>1.0309996439440059</v>
      </c>
    </row>
    <row r="14" spans="1:36" ht="15" customHeight="1" x14ac:dyDescent="0.2">
      <c r="A14" s="27" t="s">
        <v>349</v>
      </c>
      <c r="B14" s="27"/>
      <c r="C14" s="27" t="s">
        <v>325</v>
      </c>
      <c r="D14" s="27">
        <v>4</v>
      </c>
      <c r="E14" s="27"/>
      <c r="F14" s="27"/>
      <c r="G14" s="27" t="s">
        <v>331</v>
      </c>
      <c r="H14" s="27">
        <v>17</v>
      </c>
      <c r="I14" s="27" t="s">
        <v>620</v>
      </c>
      <c r="J14" s="27">
        <v>10</v>
      </c>
      <c r="K14" s="27">
        <v>1</v>
      </c>
      <c r="L14" s="27">
        <v>6</v>
      </c>
      <c r="M14" s="29">
        <v>18</v>
      </c>
      <c r="N14" s="30">
        <v>21</v>
      </c>
      <c r="O14" s="30">
        <v>38</v>
      </c>
      <c r="P14" s="30">
        <v>10</v>
      </c>
      <c r="Q14" s="30">
        <v>25</v>
      </c>
      <c r="R14" s="30">
        <v>73</v>
      </c>
      <c r="S14" s="31">
        <f>R14/N14</f>
        <v>3.4761904761904763</v>
      </c>
      <c r="T14" s="32">
        <f>O14/R14</f>
        <v>0.52054794520547942</v>
      </c>
      <c r="U14" s="32">
        <f>P14/R14</f>
        <v>0.13698630136986301</v>
      </c>
      <c r="V14" s="32">
        <f>Q14/R14</f>
        <v>0.34246575342465752</v>
      </c>
      <c r="W14" s="31">
        <f>P14/O14</f>
        <v>0.26315789473684209</v>
      </c>
      <c r="X14" s="31">
        <f>Q14/(O14+P14)</f>
        <v>0.52083333333333337</v>
      </c>
      <c r="Y14" s="65">
        <f>R14/R$488</f>
        <v>2.1206196857415923E-4</v>
      </c>
      <c r="Z14" s="33">
        <v>101</v>
      </c>
      <c r="AA14" s="33">
        <v>98</v>
      </c>
      <c r="AB14" s="29">
        <v>99</v>
      </c>
      <c r="AC14" s="34">
        <f>Z14/R14</f>
        <v>1.3835616438356164</v>
      </c>
      <c r="AD14" s="34">
        <f>AA14/Z14</f>
        <v>0.97029702970297027</v>
      </c>
      <c r="AE14" s="34">
        <f>AB14/AA14</f>
        <v>1.010204081632653</v>
      </c>
      <c r="AF14" s="35">
        <f>AB14/R14</f>
        <v>1.3561643835616439</v>
      </c>
      <c r="AG14" s="29">
        <f>0.6*Z14+0.4*AA14</f>
        <v>99.8</v>
      </c>
      <c r="AH14" s="54">
        <v>662</v>
      </c>
      <c r="AI14" s="59">
        <f>AH14/AG14</f>
        <v>6.6332665330661325</v>
      </c>
      <c r="AJ14" s="61">
        <f>AI14/AI$488</f>
        <v>1.4095978358657177</v>
      </c>
    </row>
    <row r="15" spans="1:36" ht="15" customHeight="1" x14ac:dyDescent="0.2">
      <c r="A15" s="28" t="s">
        <v>47</v>
      </c>
      <c r="B15" s="28"/>
      <c r="C15" s="27" t="s">
        <v>112</v>
      </c>
      <c r="D15" s="27">
        <v>6</v>
      </c>
      <c r="E15" s="27"/>
      <c r="F15" s="27"/>
      <c r="G15" s="27" t="s">
        <v>26</v>
      </c>
      <c r="H15" s="27">
        <v>24</v>
      </c>
      <c r="I15" s="27" t="s">
        <v>624</v>
      </c>
      <c r="J15" s="27">
        <v>4</v>
      </c>
      <c r="K15" s="27">
        <v>4</v>
      </c>
      <c r="L15" s="27">
        <v>2</v>
      </c>
      <c r="M15" s="29">
        <v>96</v>
      </c>
      <c r="N15" s="30">
        <v>99</v>
      </c>
      <c r="O15" s="30">
        <v>215</v>
      </c>
      <c r="P15" s="30">
        <v>114</v>
      </c>
      <c r="Q15" s="30">
        <v>180</v>
      </c>
      <c r="R15" s="30">
        <v>509</v>
      </c>
      <c r="S15" s="31">
        <f>R15/N15</f>
        <v>5.141414141414141</v>
      </c>
      <c r="T15" s="32">
        <f>O15/R15</f>
        <v>0.42239685658153242</v>
      </c>
      <c r="U15" s="32">
        <f>P15/R15</f>
        <v>0.22396856581532418</v>
      </c>
      <c r="V15" s="32">
        <f>Q15/R15</f>
        <v>0.35363457760314343</v>
      </c>
      <c r="W15" s="31">
        <f>P15/O15</f>
        <v>0.53023255813953485</v>
      </c>
      <c r="X15" s="31">
        <f>Q15/(O15+P15)</f>
        <v>0.54711246200607899</v>
      </c>
      <c r="Y15" s="65">
        <f>R15/R$488</f>
        <v>1.4786238630718773E-3</v>
      </c>
      <c r="Z15" s="33">
        <v>519</v>
      </c>
      <c r="AA15" s="33">
        <v>619</v>
      </c>
      <c r="AB15" s="29">
        <v>549</v>
      </c>
      <c r="AC15" s="34">
        <f>Z15/R15</f>
        <v>1.0196463654223968</v>
      </c>
      <c r="AD15" s="34">
        <f>AA15/Z15</f>
        <v>1.1926782273603083</v>
      </c>
      <c r="AE15" s="34">
        <f>AB15/AA15</f>
        <v>0.88691437802907913</v>
      </c>
      <c r="AF15" s="35">
        <f>AB15/R15</f>
        <v>1.0785854616895874</v>
      </c>
      <c r="AG15" s="29">
        <f>0.6*Z15+0.4*AA15</f>
        <v>559</v>
      </c>
      <c r="AH15" s="54">
        <v>5869</v>
      </c>
      <c r="AI15" s="59">
        <f>AH15/AG15</f>
        <v>10.499105545617173</v>
      </c>
      <c r="AJ15" s="61">
        <f>AI15/AI$488</f>
        <v>2.2311053508635146</v>
      </c>
    </row>
    <row r="16" spans="1:36" ht="15" customHeight="1" x14ac:dyDescent="0.2">
      <c r="A16" s="28" t="s">
        <v>576</v>
      </c>
      <c r="B16" s="28"/>
      <c r="C16" s="28" t="s">
        <v>118</v>
      </c>
      <c r="D16" s="28">
        <v>19</v>
      </c>
      <c r="E16" s="27"/>
      <c r="F16" s="27"/>
      <c r="G16" s="27" t="s">
        <v>427</v>
      </c>
      <c r="H16" s="27">
        <v>23</v>
      </c>
      <c r="I16" s="27" t="s">
        <v>619</v>
      </c>
      <c r="J16" s="27">
        <v>9</v>
      </c>
      <c r="K16" s="27">
        <v>2</v>
      </c>
      <c r="L16" s="27">
        <v>1</v>
      </c>
      <c r="M16" s="29">
        <v>151</v>
      </c>
      <c r="N16" s="30">
        <v>159</v>
      </c>
      <c r="O16" s="30">
        <v>625</v>
      </c>
      <c r="P16" s="30">
        <v>100</v>
      </c>
      <c r="Q16" s="30">
        <v>31</v>
      </c>
      <c r="R16" s="30">
        <v>756</v>
      </c>
      <c r="S16" s="31">
        <f>R16/N16</f>
        <v>4.7547169811320753</v>
      </c>
      <c r="T16" s="32">
        <f>O16/R16</f>
        <v>0.82671957671957674</v>
      </c>
      <c r="U16" s="32">
        <f>P16/R16</f>
        <v>0.13227513227513227</v>
      </c>
      <c r="V16" s="32">
        <f>Q16/R16</f>
        <v>4.1005291005291003E-2</v>
      </c>
      <c r="W16" s="31">
        <f>P16/O16</f>
        <v>0.16</v>
      </c>
      <c r="X16" s="31">
        <f>Q16/(O16+P16)</f>
        <v>4.275862068965517E-2</v>
      </c>
      <c r="Y16" s="65">
        <f>R16/R$488</f>
        <v>2.1961486060556763E-3</v>
      </c>
      <c r="Z16" s="33">
        <v>752</v>
      </c>
      <c r="AA16" s="33">
        <v>858</v>
      </c>
      <c r="AB16" s="29">
        <v>1038</v>
      </c>
      <c r="AC16" s="34">
        <f>Z16/R16</f>
        <v>0.99470899470899465</v>
      </c>
      <c r="AD16" s="34">
        <f>AA16/Z16</f>
        <v>1.1409574468085106</v>
      </c>
      <c r="AE16" s="34">
        <f>AB16/AA16</f>
        <v>1.2097902097902098</v>
      </c>
      <c r="AF16" s="35">
        <f>AB16/R16</f>
        <v>1.373015873015873</v>
      </c>
      <c r="AG16" s="29">
        <f>0.6*Z16+0.4*AA16</f>
        <v>794.40000000000009</v>
      </c>
      <c r="AH16" s="54">
        <v>2735</v>
      </c>
      <c r="AI16" s="59">
        <f>AH16/AG16</f>
        <v>3.4428499496475324</v>
      </c>
      <c r="AJ16" s="61">
        <f>AI16/AI$488</f>
        <v>0.73162050914759658</v>
      </c>
    </row>
    <row r="17" spans="1:36" ht="15" customHeight="1" x14ac:dyDescent="0.2">
      <c r="A17" s="27" t="s">
        <v>66</v>
      </c>
      <c r="B17" s="27"/>
      <c r="C17" s="27" t="s">
        <v>35</v>
      </c>
      <c r="D17" s="27">
        <v>11</v>
      </c>
      <c r="E17" s="27"/>
      <c r="F17" s="27"/>
      <c r="G17" s="27" t="s">
        <v>50</v>
      </c>
      <c r="H17" s="27">
        <v>7</v>
      </c>
      <c r="I17" s="27" t="s">
        <v>111</v>
      </c>
      <c r="J17" s="27">
        <v>5</v>
      </c>
      <c r="K17" s="27">
        <v>2</v>
      </c>
      <c r="L17" s="27">
        <v>2</v>
      </c>
      <c r="M17" s="29">
        <v>39</v>
      </c>
      <c r="N17" s="30">
        <v>42</v>
      </c>
      <c r="O17" s="30">
        <v>33</v>
      </c>
      <c r="P17" s="30">
        <v>6</v>
      </c>
      <c r="Q17" s="30">
        <v>137</v>
      </c>
      <c r="R17" s="30">
        <v>176</v>
      </c>
      <c r="S17" s="31">
        <f>R17/N17</f>
        <v>4.1904761904761907</v>
      </c>
      <c r="T17" s="32">
        <f>O17/R17</f>
        <v>0.1875</v>
      </c>
      <c r="U17" s="32">
        <f>P17/R17</f>
        <v>3.4090909090909088E-2</v>
      </c>
      <c r="V17" s="32">
        <f>Q17/R17</f>
        <v>0.77840909090909094</v>
      </c>
      <c r="W17" s="31">
        <f>P17/O17</f>
        <v>0.18181818181818182</v>
      </c>
      <c r="X17" s="31">
        <f>Q17/(O17+P17)</f>
        <v>3.5128205128205128</v>
      </c>
      <c r="Y17" s="65">
        <f>R17/R$488</f>
        <v>5.1127269135687703E-4</v>
      </c>
      <c r="Z17" s="33">
        <v>221</v>
      </c>
      <c r="AA17" s="33">
        <v>258</v>
      </c>
      <c r="AB17" s="29">
        <v>333</v>
      </c>
      <c r="AC17" s="34">
        <f>Z17/R17</f>
        <v>1.2556818181818181</v>
      </c>
      <c r="AD17" s="34">
        <f>AA17/Z17</f>
        <v>1.1674208144796381</v>
      </c>
      <c r="AE17" s="34">
        <f>AB17/AA17</f>
        <v>1.2906976744186047</v>
      </c>
      <c r="AF17" s="35">
        <f>AB17/R17</f>
        <v>1.8920454545454546</v>
      </c>
      <c r="AG17" s="29">
        <f>0.6*Z17+0.4*AA17</f>
        <v>235.8</v>
      </c>
      <c r="AH17" s="54">
        <v>1613</v>
      </c>
      <c r="AI17" s="59">
        <f>AH17/AG17</f>
        <v>6.8405428329092448</v>
      </c>
      <c r="AJ17" s="61">
        <f>AI17/AI$488</f>
        <v>1.45364494632459</v>
      </c>
    </row>
    <row r="18" spans="1:36" ht="15" customHeight="1" x14ac:dyDescent="0.2">
      <c r="A18" s="27" t="s">
        <v>18</v>
      </c>
      <c r="B18" s="27"/>
      <c r="C18" s="27" t="s">
        <v>117</v>
      </c>
      <c r="D18" s="27">
        <v>3</v>
      </c>
      <c r="E18" s="27"/>
      <c r="F18" s="27"/>
      <c r="G18" s="27" t="s">
        <v>138</v>
      </c>
      <c r="H18" s="27">
        <v>9</v>
      </c>
      <c r="I18" s="27" t="s">
        <v>619</v>
      </c>
      <c r="J18" s="27">
        <v>9</v>
      </c>
      <c r="K18" s="27">
        <v>3</v>
      </c>
      <c r="L18" s="27">
        <v>2</v>
      </c>
      <c r="M18" s="29">
        <v>115</v>
      </c>
      <c r="N18" s="30">
        <v>115</v>
      </c>
      <c r="O18" s="30">
        <v>613</v>
      </c>
      <c r="P18" s="30">
        <v>28</v>
      </c>
      <c r="Q18" s="30">
        <v>2</v>
      </c>
      <c r="R18" s="30">
        <v>643</v>
      </c>
      <c r="S18" s="31">
        <f>R18/N18</f>
        <v>5.5913043478260871</v>
      </c>
      <c r="T18" s="32">
        <f>O18/R18</f>
        <v>0.95334370139968894</v>
      </c>
      <c r="U18" s="32">
        <f>P18/R18</f>
        <v>4.3545878693623641E-2</v>
      </c>
      <c r="V18" s="32">
        <f>Q18/R18</f>
        <v>3.1104199066874028E-3</v>
      </c>
      <c r="W18" s="31">
        <f>P18/O18</f>
        <v>4.5676998368678633E-2</v>
      </c>
      <c r="X18" s="31">
        <f>Q18/(O18+P18)</f>
        <v>3.1201248049921998E-3</v>
      </c>
      <c r="Y18" s="65">
        <f>R18/R$488</f>
        <v>1.8678882985367724E-3</v>
      </c>
      <c r="Z18" s="33">
        <v>677</v>
      </c>
      <c r="AA18" s="33">
        <v>774</v>
      </c>
      <c r="AB18" s="29">
        <v>862</v>
      </c>
      <c r="AC18" s="34">
        <f>Z18/R18</f>
        <v>1.0528771384136859</v>
      </c>
      <c r="AD18" s="34">
        <f>AA18/Z18</f>
        <v>1.1432791728212703</v>
      </c>
      <c r="AE18" s="34">
        <f>AB18/AA18</f>
        <v>1.1136950904392764</v>
      </c>
      <c r="AF18" s="35">
        <f>AB18/R18</f>
        <v>1.3405909797822706</v>
      </c>
      <c r="AG18" s="29">
        <f>0.6*Z18+0.4*AA18</f>
        <v>715.8</v>
      </c>
      <c r="AH18" s="54">
        <v>1906</v>
      </c>
      <c r="AI18" s="59">
        <f>AH18/AG18</f>
        <v>2.6627549594858899</v>
      </c>
      <c r="AJ18" s="61">
        <f>AI18/AI$488</f>
        <v>0.56584694880292341</v>
      </c>
    </row>
    <row r="19" spans="1:36" ht="15" customHeight="1" x14ac:dyDescent="0.2">
      <c r="A19" s="27" t="s">
        <v>235</v>
      </c>
      <c r="B19" s="27"/>
      <c r="C19" s="28" t="s">
        <v>118</v>
      </c>
      <c r="D19" s="28">
        <v>19</v>
      </c>
      <c r="E19" s="27"/>
      <c r="F19" s="27"/>
      <c r="G19" s="27" t="s">
        <v>350</v>
      </c>
      <c r="H19" s="27">
        <v>2</v>
      </c>
      <c r="I19" s="27" t="s">
        <v>620</v>
      </c>
      <c r="J19" s="27">
        <v>10</v>
      </c>
      <c r="K19" s="27">
        <v>1</v>
      </c>
      <c r="L19" s="27">
        <v>4</v>
      </c>
      <c r="M19" s="29">
        <v>79</v>
      </c>
      <c r="N19" s="30">
        <v>89</v>
      </c>
      <c r="O19" s="30">
        <v>115</v>
      </c>
      <c r="P19" s="30">
        <v>30</v>
      </c>
      <c r="Q19" s="30">
        <v>339</v>
      </c>
      <c r="R19" s="30">
        <v>484</v>
      </c>
      <c r="S19" s="31">
        <f>R19/N19</f>
        <v>5.4382022471910112</v>
      </c>
      <c r="T19" s="32">
        <f>O19/R19</f>
        <v>0.23760330578512398</v>
      </c>
      <c r="U19" s="32">
        <f>P19/R19</f>
        <v>6.1983471074380167E-2</v>
      </c>
      <c r="V19" s="32">
        <f>Q19/R19</f>
        <v>0.70041322314049592</v>
      </c>
      <c r="W19" s="31">
        <f>P19/O19</f>
        <v>0.2608695652173913</v>
      </c>
      <c r="X19" s="31">
        <f>Q19/(O19+P19)</f>
        <v>2.3379310344827586</v>
      </c>
      <c r="Y19" s="65">
        <f>R19/R$488</f>
        <v>1.405999901231412E-3</v>
      </c>
      <c r="Z19" s="33">
        <v>456</v>
      </c>
      <c r="AA19" s="33">
        <v>535</v>
      </c>
      <c r="AB19" s="29">
        <v>592</v>
      </c>
      <c r="AC19" s="34">
        <f>Z19/R19</f>
        <v>0.94214876033057848</v>
      </c>
      <c r="AD19" s="34">
        <f>AA19/Z19</f>
        <v>1.1732456140350878</v>
      </c>
      <c r="AE19" s="34">
        <f>AB19/AA19</f>
        <v>1.1065420560747663</v>
      </c>
      <c r="AF19" s="35">
        <f>AB19/R19</f>
        <v>1.2231404958677685</v>
      </c>
      <c r="AG19" s="29">
        <f>0.6*Z19+0.4*AA19</f>
        <v>487.59999999999997</v>
      </c>
      <c r="AH19" s="54">
        <v>2140</v>
      </c>
      <c r="AI19" s="59">
        <f>AH19/AG19</f>
        <v>4.3888433141919609</v>
      </c>
      <c r="AJ19" s="61">
        <f>AI19/AI$488</f>
        <v>0.93264819177695391</v>
      </c>
    </row>
    <row r="20" spans="1:36" ht="15" customHeight="1" x14ac:dyDescent="0.2">
      <c r="A20" s="27" t="s">
        <v>185</v>
      </c>
      <c r="B20" s="27"/>
      <c r="C20" s="28" t="s">
        <v>81</v>
      </c>
      <c r="D20" s="28">
        <v>10</v>
      </c>
      <c r="E20" s="27"/>
      <c r="F20" s="27"/>
      <c r="G20" s="27" t="s">
        <v>287</v>
      </c>
      <c r="H20" s="27">
        <v>25</v>
      </c>
      <c r="I20" s="27" t="s">
        <v>624</v>
      </c>
      <c r="J20" s="27">
        <v>4</v>
      </c>
      <c r="K20" s="27">
        <v>4</v>
      </c>
      <c r="L20" s="27">
        <v>1</v>
      </c>
      <c r="M20" s="29">
        <v>143</v>
      </c>
      <c r="N20" s="30">
        <v>152</v>
      </c>
      <c r="O20" s="30">
        <v>143</v>
      </c>
      <c r="P20" s="30">
        <v>59</v>
      </c>
      <c r="Q20" s="30">
        <v>544</v>
      </c>
      <c r="R20" s="30">
        <v>746</v>
      </c>
      <c r="S20" s="31">
        <f>R20/N20</f>
        <v>4.9078947368421053</v>
      </c>
      <c r="T20" s="32">
        <f>O20/R20</f>
        <v>0.19168900804289543</v>
      </c>
      <c r="U20" s="32">
        <f>P20/R20</f>
        <v>7.9088471849865949E-2</v>
      </c>
      <c r="V20" s="32">
        <f>Q20/R20</f>
        <v>0.72922252010723865</v>
      </c>
      <c r="W20" s="31">
        <f>P20/O20</f>
        <v>0.41258741258741261</v>
      </c>
      <c r="X20" s="31">
        <f>Q20/(O20+P20)</f>
        <v>2.6930693069306932</v>
      </c>
      <c r="Y20" s="65">
        <f>R20/R$488</f>
        <v>2.16709902131949E-3</v>
      </c>
      <c r="Z20" s="33">
        <v>828</v>
      </c>
      <c r="AA20" s="33">
        <v>924</v>
      </c>
      <c r="AB20" s="29">
        <v>939</v>
      </c>
      <c r="AC20" s="34">
        <f>Z20/R20</f>
        <v>1.1099195710455765</v>
      </c>
      <c r="AD20" s="34">
        <f>AA20/Z20</f>
        <v>1.1159420289855073</v>
      </c>
      <c r="AE20" s="34">
        <f>AB20/AA20</f>
        <v>1.0162337662337662</v>
      </c>
      <c r="AF20" s="35">
        <f>AB20/R20</f>
        <v>1.2587131367292226</v>
      </c>
      <c r="AG20" s="29">
        <f>0.6*Z20+0.4*AA20</f>
        <v>866.4</v>
      </c>
      <c r="AH20" s="54">
        <v>5436</v>
      </c>
      <c r="AI20" s="59">
        <f>AH20/AG20</f>
        <v>6.2742382271468147</v>
      </c>
      <c r="AJ20" s="61">
        <f>AI20/AI$488</f>
        <v>1.3333027675889308</v>
      </c>
    </row>
    <row r="21" spans="1:36" ht="15" customHeight="1" x14ac:dyDescent="0.2">
      <c r="A21" s="27" t="s">
        <v>36</v>
      </c>
      <c r="B21" s="27">
        <v>2</v>
      </c>
      <c r="C21" s="27" t="s">
        <v>114</v>
      </c>
      <c r="D21" s="27">
        <v>17</v>
      </c>
      <c r="E21" s="27"/>
      <c r="F21" s="27"/>
      <c r="G21" s="27" t="s">
        <v>219</v>
      </c>
      <c r="H21" s="27">
        <v>6</v>
      </c>
      <c r="I21" s="27" t="s">
        <v>618</v>
      </c>
      <c r="J21" s="27">
        <v>6</v>
      </c>
      <c r="K21" s="27">
        <v>7</v>
      </c>
      <c r="L21" s="27">
        <v>3</v>
      </c>
      <c r="M21" s="29">
        <v>86</v>
      </c>
      <c r="N21" s="30">
        <v>105</v>
      </c>
      <c r="O21" s="30">
        <v>165</v>
      </c>
      <c r="P21" s="30">
        <v>194</v>
      </c>
      <c r="Q21" s="30">
        <v>67</v>
      </c>
      <c r="R21" s="30">
        <v>426</v>
      </c>
      <c r="S21" s="31">
        <f>R21/N21</f>
        <v>4.0571428571428569</v>
      </c>
      <c r="T21" s="32">
        <f>O21/R21</f>
        <v>0.38732394366197181</v>
      </c>
      <c r="U21" s="32">
        <f>P21/R21</f>
        <v>0.45539906103286387</v>
      </c>
      <c r="V21" s="32">
        <f>Q21/R21</f>
        <v>0.15727699530516431</v>
      </c>
      <c r="W21" s="31">
        <f>P21/O21</f>
        <v>1.1757575757575758</v>
      </c>
      <c r="X21" s="31">
        <f>Q21/(O21+P21)</f>
        <v>0.18662952646239556</v>
      </c>
      <c r="Y21" s="65">
        <f>R21/R$488</f>
        <v>1.237512309761532E-3</v>
      </c>
      <c r="Z21" s="33">
        <v>471</v>
      </c>
      <c r="AA21" s="33">
        <v>513</v>
      </c>
      <c r="AB21" s="29">
        <v>598</v>
      </c>
      <c r="AC21" s="34">
        <f>Z21/R21</f>
        <v>1.1056338028169015</v>
      </c>
      <c r="AD21" s="34">
        <f>AA21/Z21</f>
        <v>1.089171974522293</v>
      </c>
      <c r="AE21" s="34">
        <f>AB21/AA21</f>
        <v>1.165692007797271</v>
      </c>
      <c r="AF21" s="35">
        <f>AB21/R21</f>
        <v>1.403755868544601</v>
      </c>
      <c r="AG21" s="29">
        <f>0.6*Z21+0.4*AA21</f>
        <v>487.79999999999995</v>
      </c>
      <c r="AH21" s="54">
        <v>3733</v>
      </c>
      <c r="AI21" s="59">
        <f>AH21/AG21</f>
        <v>7.6527265272652736</v>
      </c>
      <c r="AJ21" s="61">
        <f>AI21/AI$488</f>
        <v>1.6262374951363576</v>
      </c>
    </row>
    <row r="22" spans="1:36" ht="15" customHeight="1" x14ac:dyDescent="0.2">
      <c r="A22" s="27" t="s">
        <v>575</v>
      </c>
      <c r="B22" s="27">
        <v>1</v>
      </c>
      <c r="C22" s="28" t="s">
        <v>323</v>
      </c>
      <c r="D22" s="28">
        <v>1</v>
      </c>
      <c r="E22" s="27" t="s">
        <v>420</v>
      </c>
      <c r="F22" s="27"/>
      <c r="G22" s="27" t="s">
        <v>336</v>
      </c>
      <c r="H22" s="27">
        <v>10</v>
      </c>
      <c r="I22" s="27" t="s">
        <v>618</v>
      </c>
      <c r="J22" s="27">
        <v>6</v>
      </c>
      <c r="K22" s="27">
        <v>7</v>
      </c>
      <c r="L22" s="27">
        <v>1</v>
      </c>
      <c r="M22" s="38">
        <v>406</v>
      </c>
      <c r="N22" s="30">
        <v>411</v>
      </c>
      <c r="O22" s="30">
        <v>383</v>
      </c>
      <c r="P22" s="30">
        <v>572</v>
      </c>
      <c r="Q22" s="30">
        <v>1199</v>
      </c>
      <c r="R22" s="30">
        <v>2154</v>
      </c>
      <c r="S22" s="31">
        <f>R22/N22</f>
        <v>5.2408759124087592</v>
      </c>
      <c r="T22" s="32">
        <f>O22/R22</f>
        <v>0.1778087279480037</v>
      </c>
      <c r="U22" s="32">
        <f>P22/R22</f>
        <v>0.26555246053853299</v>
      </c>
      <c r="V22" s="32">
        <f>Q22/R22</f>
        <v>0.55663881151346328</v>
      </c>
      <c r="W22" s="31">
        <f>P22/O22</f>
        <v>1.4934725848563968</v>
      </c>
      <c r="X22" s="31">
        <f>Q22/(O22+P22)</f>
        <v>1.2554973821989528</v>
      </c>
      <c r="Y22" s="65">
        <f>R22/R$488</f>
        <v>6.2572805521745063E-3</v>
      </c>
      <c r="Z22" s="38">
        <v>2387</v>
      </c>
      <c r="AA22" s="38">
        <v>2742</v>
      </c>
      <c r="AB22" s="38">
        <v>2719</v>
      </c>
      <c r="AC22" s="39">
        <f>Z22/R22</f>
        <v>1.1081708449396472</v>
      </c>
      <c r="AD22" s="39">
        <f>AA22/Z22</f>
        <v>1.148722245496439</v>
      </c>
      <c r="AE22" s="34">
        <f>AB22/AA22</f>
        <v>0.99161196207148072</v>
      </c>
      <c r="AF22" s="35">
        <f>AB22/R22</f>
        <v>1.2623026926648098</v>
      </c>
      <c r="AG22" s="29">
        <f>0.6*Z22+0.4*AA22</f>
        <v>2529</v>
      </c>
      <c r="AH22" s="55">
        <v>13797</v>
      </c>
      <c r="AI22" s="59">
        <f>AH22/AG22</f>
        <v>5.4555160142348758</v>
      </c>
      <c r="AJ22" s="61">
        <f>AI22/AI$488</f>
        <v>1.1593207552963527</v>
      </c>
    </row>
    <row r="23" spans="1:36" ht="15" customHeight="1" x14ac:dyDescent="0.2">
      <c r="A23" s="27" t="s">
        <v>574</v>
      </c>
      <c r="B23" s="27">
        <v>2</v>
      </c>
      <c r="C23" s="27" t="s">
        <v>323</v>
      </c>
      <c r="D23" s="27">
        <v>1</v>
      </c>
      <c r="E23" s="27"/>
      <c r="F23" s="27"/>
      <c r="G23" s="27" t="s">
        <v>336</v>
      </c>
      <c r="H23" s="27">
        <v>10</v>
      </c>
      <c r="I23" s="27" t="s">
        <v>618</v>
      </c>
      <c r="J23" s="27">
        <v>6</v>
      </c>
      <c r="K23" s="27">
        <v>7</v>
      </c>
      <c r="L23" s="27">
        <v>2</v>
      </c>
      <c r="M23" s="29">
        <v>60</v>
      </c>
      <c r="N23" s="30">
        <v>66</v>
      </c>
      <c r="O23" s="30">
        <v>305</v>
      </c>
      <c r="P23" s="30">
        <v>8</v>
      </c>
      <c r="Q23" s="30">
        <v>62</v>
      </c>
      <c r="R23" s="30">
        <v>375</v>
      </c>
      <c r="S23" s="31">
        <f>R23/N23</f>
        <v>5.6818181818181817</v>
      </c>
      <c r="T23" s="32">
        <f>O23/R23</f>
        <v>0.81333333333333335</v>
      </c>
      <c r="U23" s="32">
        <f>P23/R23</f>
        <v>2.1333333333333333E-2</v>
      </c>
      <c r="V23" s="32">
        <f>Q23/R23</f>
        <v>0.16533333333333333</v>
      </c>
      <c r="W23" s="31">
        <f>P23/O23</f>
        <v>2.6229508196721311E-2</v>
      </c>
      <c r="X23" s="31">
        <f>Q23/(O23+P23)</f>
        <v>0.19808306709265175</v>
      </c>
      <c r="Y23" s="65">
        <f>R23/R$488</f>
        <v>1.0893594276069824E-3</v>
      </c>
      <c r="Z23" s="33">
        <v>466</v>
      </c>
      <c r="AA23" s="41">
        <v>543</v>
      </c>
      <c r="AB23" s="37">
        <v>656</v>
      </c>
      <c r="AC23" s="34">
        <f>Z23/R23</f>
        <v>1.2426666666666666</v>
      </c>
      <c r="AD23" s="34">
        <f>AA23/Z23</f>
        <v>1.1652360515021458</v>
      </c>
      <c r="AE23" s="34">
        <f>AB23/AA23</f>
        <v>1.2081031307550645</v>
      </c>
      <c r="AF23" s="35">
        <f>AB23/R23</f>
        <v>1.7493333333333334</v>
      </c>
      <c r="AG23" s="29">
        <f>0.6*Z23+0.4*AA23</f>
        <v>496.79999999999995</v>
      </c>
      <c r="AH23" s="54">
        <v>5139</v>
      </c>
      <c r="AI23" s="59">
        <f>AH23/AG23</f>
        <v>10.344202898550726</v>
      </c>
      <c r="AJ23" s="61">
        <f>AI23/AI$488</f>
        <v>2.198187868204514</v>
      </c>
    </row>
    <row r="24" spans="1:36" ht="15" customHeight="1" x14ac:dyDescent="0.2">
      <c r="A24" s="27" t="s">
        <v>559</v>
      </c>
      <c r="B24" s="27"/>
      <c r="C24" s="28" t="s">
        <v>120</v>
      </c>
      <c r="D24" s="28">
        <v>9</v>
      </c>
      <c r="E24" s="27"/>
      <c r="F24" s="27"/>
      <c r="G24" s="27" t="s">
        <v>172</v>
      </c>
      <c r="H24" s="27">
        <v>1</v>
      </c>
      <c r="I24" s="27" t="s">
        <v>618</v>
      </c>
      <c r="J24" s="27">
        <v>6</v>
      </c>
      <c r="K24" s="27">
        <v>6</v>
      </c>
      <c r="L24" s="27">
        <v>3</v>
      </c>
      <c r="M24" s="29">
        <v>139</v>
      </c>
      <c r="N24" s="30">
        <v>181</v>
      </c>
      <c r="O24" s="30">
        <v>366</v>
      </c>
      <c r="P24" s="30">
        <v>318</v>
      </c>
      <c r="Q24" s="30">
        <v>3</v>
      </c>
      <c r="R24" s="30">
        <v>687</v>
      </c>
      <c r="S24" s="31">
        <f>R24/N24</f>
        <v>3.7955801104972378</v>
      </c>
      <c r="T24" s="32">
        <f>O24/R24</f>
        <v>0.53275109170305679</v>
      </c>
      <c r="U24" s="32">
        <f>P24/R24</f>
        <v>0.46288209606986902</v>
      </c>
      <c r="V24" s="32">
        <f>Q24/R24</f>
        <v>4.3668122270742356E-3</v>
      </c>
      <c r="W24" s="31">
        <f>P24/O24</f>
        <v>0.86885245901639341</v>
      </c>
      <c r="X24" s="31">
        <f>Q24/(O24+P24)</f>
        <v>4.3859649122807015E-3</v>
      </c>
      <c r="Y24" s="65">
        <f>R24/R$488</f>
        <v>1.9957064713759915E-3</v>
      </c>
      <c r="Z24" s="33">
        <v>747</v>
      </c>
      <c r="AA24" s="33">
        <v>854</v>
      </c>
      <c r="AB24" s="29">
        <v>1025</v>
      </c>
      <c r="AC24" s="34">
        <f>Z24/R24</f>
        <v>1.0873362445414847</v>
      </c>
      <c r="AD24" s="34">
        <f>AA24/Z24</f>
        <v>1.143239625167336</v>
      </c>
      <c r="AE24" s="34">
        <f>AB24/AA24</f>
        <v>1.2002341920374706</v>
      </c>
      <c r="AF24" s="35">
        <f>AB24/R24</f>
        <v>1.4919941775836973</v>
      </c>
      <c r="AG24" s="29">
        <f>0.6*Z24+0.4*AA24</f>
        <v>789.8</v>
      </c>
      <c r="AH24" s="54">
        <v>2526</v>
      </c>
      <c r="AI24" s="59">
        <f>AH24/AG24</f>
        <v>3.1982780450747028</v>
      </c>
      <c r="AJ24" s="61">
        <f>AI24/AI$488</f>
        <v>0.67964792133118901</v>
      </c>
    </row>
    <row r="25" spans="1:36" ht="15" customHeight="1" x14ac:dyDescent="0.2">
      <c r="A25" s="27" t="s">
        <v>324</v>
      </c>
      <c r="B25" s="27"/>
      <c r="C25" s="27" t="s">
        <v>324</v>
      </c>
      <c r="D25" s="27">
        <v>2</v>
      </c>
      <c r="E25" s="27" t="s">
        <v>420</v>
      </c>
      <c r="F25" s="27"/>
      <c r="G25" s="27" t="s">
        <v>333</v>
      </c>
      <c r="H25" s="27">
        <v>22</v>
      </c>
      <c r="I25" s="27" t="s">
        <v>621</v>
      </c>
      <c r="J25" s="27">
        <v>7</v>
      </c>
      <c r="K25" s="27">
        <v>2</v>
      </c>
      <c r="L25" s="27">
        <v>11</v>
      </c>
      <c r="M25" s="29">
        <v>279</v>
      </c>
      <c r="N25" s="30">
        <v>279</v>
      </c>
      <c r="O25" s="30">
        <v>330</v>
      </c>
      <c r="P25" s="30">
        <v>417</v>
      </c>
      <c r="Q25" s="30">
        <v>617</v>
      </c>
      <c r="R25" s="30">
        <v>1364</v>
      </c>
      <c r="S25" s="31">
        <f>R25/N25</f>
        <v>4.8888888888888893</v>
      </c>
      <c r="T25" s="32">
        <f>O25/R25</f>
        <v>0.24193548387096775</v>
      </c>
      <c r="U25" s="32">
        <f>P25/R25</f>
        <v>0.30571847507331379</v>
      </c>
      <c r="V25" s="32">
        <f>Q25/R25</f>
        <v>0.45234604105571846</v>
      </c>
      <c r="W25" s="31">
        <f>P25/O25</f>
        <v>1.2636363636363637</v>
      </c>
      <c r="X25" s="31">
        <f>Q25/(O25+P25)</f>
        <v>0.82597054886211507</v>
      </c>
      <c r="Y25" s="65">
        <f>R25/R$488</f>
        <v>3.9623633580157976E-3</v>
      </c>
      <c r="Z25" s="29">
        <v>1422</v>
      </c>
      <c r="AA25" s="29">
        <v>1633</v>
      </c>
      <c r="AB25" s="29">
        <v>1961</v>
      </c>
      <c r="AC25" s="34">
        <f>Z25/R25</f>
        <v>1.0425219941348973</v>
      </c>
      <c r="AD25" s="34">
        <f>AA25/Z25</f>
        <v>1.1483825597749648</v>
      </c>
      <c r="AE25" s="34">
        <f>AB25/AA25</f>
        <v>1.2008573178199633</v>
      </c>
      <c r="AF25" s="35">
        <f>AB25/R25</f>
        <v>1.4376832844574781</v>
      </c>
      <c r="AG25" s="29">
        <f>0.6*Z25+0.4*AA25</f>
        <v>1506.4</v>
      </c>
      <c r="AH25" s="54">
        <v>7232</v>
      </c>
      <c r="AI25" s="59">
        <f>AH25/AG25</f>
        <v>4.8008497079129047</v>
      </c>
      <c r="AJ25" s="61">
        <f>AI25/AI$488</f>
        <v>1.0202013329113915</v>
      </c>
    </row>
    <row r="26" spans="1:36" ht="15" customHeight="1" x14ac:dyDescent="0.2">
      <c r="A26" s="27" t="s">
        <v>350</v>
      </c>
      <c r="B26" s="27"/>
      <c r="C26" s="27" t="s">
        <v>325</v>
      </c>
      <c r="D26" s="27">
        <v>4</v>
      </c>
      <c r="E26" s="27" t="s">
        <v>420</v>
      </c>
      <c r="F26" s="27"/>
      <c r="G26" s="27" t="s">
        <v>350</v>
      </c>
      <c r="H26" s="27">
        <v>2</v>
      </c>
      <c r="I26" s="27" t="s">
        <v>620</v>
      </c>
      <c r="J26" s="27">
        <v>10</v>
      </c>
      <c r="K26" s="27">
        <v>1</v>
      </c>
      <c r="L26" s="27">
        <v>10</v>
      </c>
      <c r="M26" s="29">
        <v>619</v>
      </c>
      <c r="N26" s="30">
        <v>828</v>
      </c>
      <c r="O26" s="30">
        <v>68</v>
      </c>
      <c r="P26" s="30">
        <v>578</v>
      </c>
      <c r="Q26" s="30">
        <v>3102</v>
      </c>
      <c r="R26" s="30">
        <v>3748</v>
      </c>
      <c r="S26" s="31">
        <f>R26/N26</f>
        <v>4.5265700483091784</v>
      </c>
      <c r="T26" s="32">
        <f>O26/R26</f>
        <v>1.8143009605122731E-2</v>
      </c>
      <c r="U26" s="32">
        <f>P26/R26</f>
        <v>0.15421558164354321</v>
      </c>
      <c r="V26" s="32">
        <f>Q26/R26</f>
        <v>0.82764140875133407</v>
      </c>
      <c r="W26" s="31">
        <f>P26/O26</f>
        <v>8.5</v>
      </c>
      <c r="X26" s="31">
        <f>Q26/(O26+P26)</f>
        <v>4.8018575851393193</v>
      </c>
      <c r="Y26" s="65">
        <f>R26/R$488</f>
        <v>1.0887784359122587E-2</v>
      </c>
      <c r="Z26" s="29">
        <v>4019</v>
      </c>
      <c r="AA26" s="29">
        <v>5079</v>
      </c>
      <c r="AB26" s="29">
        <v>6840</v>
      </c>
      <c r="AC26" s="34">
        <f>Z26/R26</f>
        <v>1.0723052294557096</v>
      </c>
      <c r="AD26" s="34">
        <f>AA26/Z26</f>
        <v>1.2637472007962181</v>
      </c>
      <c r="AE26" s="34">
        <f>AB26/AA26</f>
        <v>1.3467217956290609</v>
      </c>
      <c r="AF26" s="35">
        <f>AB26/R26</f>
        <v>1.8249733191035218</v>
      </c>
      <c r="AG26" s="29">
        <f>0.6*Z26+0.4*AA26</f>
        <v>4443</v>
      </c>
      <c r="AH26" s="54">
        <v>11278</v>
      </c>
      <c r="AI26" s="59">
        <f>AH26/AG26</f>
        <v>2.5383749718658564</v>
      </c>
      <c r="AJ26" s="61">
        <f>AI26/AI$488</f>
        <v>0.53941566332687274</v>
      </c>
    </row>
    <row r="27" spans="1:36" ht="15" customHeight="1" x14ac:dyDescent="0.2">
      <c r="A27" s="28" t="s">
        <v>258</v>
      </c>
      <c r="B27" s="28"/>
      <c r="C27" s="28" t="s">
        <v>123</v>
      </c>
      <c r="D27" s="28">
        <v>23</v>
      </c>
      <c r="E27" s="27"/>
      <c r="F27" s="27"/>
      <c r="G27" s="27" t="s">
        <v>427</v>
      </c>
      <c r="H27" s="27">
        <v>23</v>
      </c>
      <c r="I27" s="27" t="s">
        <v>619</v>
      </c>
      <c r="J27" s="27">
        <v>9</v>
      </c>
      <c r="K27" s="27">
        <v>2</v>
      </c>
      <c r="L27" s="27">
        <v>6</v>
      </c>
      <c r="M27" s="29">
        <v>95</v>
      </c>
      <c r="N27" s="30">
        <v>100</v>
      </c>
      <c r="O27" s="30">
        <v>236</v>
      </c>
      <c r="P27" s="30">
        <v>30</v>
      </c>
      <c r="Q27" s="30">
        <v>250</v>
      </c>
      <c r="R27" s="30">
        <v>516</v>
      </c>
      <c r="S27" s="31">
        <f>R27/N27</f>
        <v>5.16</v>
      </c>
      <c r="T27" s="32">
        <f>O27/R27</f>
        <v>0.4573643410852713</v>
      </c>
      <c r="U27" s="32">
        <f>P27/R27</f>
        <v>5.8139534883720929E-2</v>
      </c>
      <c r="V27" s="32">
        <f>Q27/R27</f>
        <v>0.48449612403100772</v>
      </c>
      <c r="W27" s="31">
        <f>P27/O27</f>
        <v>0.1271186440677966</v>
      </c>
      <c r="X27" s="31">
        <f>Q27/(O27+P27)</f>
        <v>0.93984962406015038</v>
      </c>
      <c r="Y27" s="65">
        <f>R27/R$488</f>
        <v>1.4989585723872078E-3</v>
      </c>
      <c r="Z27" s="33">
        <v>540</v>
      </c>
      <c r="AA27" s="33">
        <v>582</v>
      </c>
      <c r="AB27" s="29">
        <v>624</v>
      </c>
      <c r="AC27" s="34">
        <f>Z27/R27</f>
        <v>1.0465116279069768</v>
      </c>
      <c r="AD27" s="34">
        <f>AA27/Z27</f>
        <v>1.0777777777777777</v>
      </c>
      <c r="AE27" s="34">
        <f>AB27/AA27</f>
        <v>1.0721649484536082</v>
      </c>
      <c r="AF27" s="35">
        <f>AB27/R27</f>
        <v>1.2093023255813953</v>
      </c>
      <c r="AG27" s="29">
        <f>0.6*Z27+0.4*AA27</f>
        <v>556.79999999999995</v>
      </c>
      <c r="AH27" s="54">
        <v>1736</v>
      </c>
      <c r="AI27" s="59">
        <f>AH27/AG27</f>
        <v>3.1178160919540234</v>
      </c>
      <c r="AJ27" s="61">
        <f>AI27/AI$488</f>
        <v>0.66254940818942742</v>
      </c>
    </row>
    <row r="28" spans="1:36" ht="15" customHeight="1" x14ac:dyDescent="0.2">
      <c r="A28" s="28" t="s">
        <v>129</v>
      </c>
      <c r="B28" s="28"/>
      <c r="C28" s="28" t="s">
        <v>117</v>
      </c>
      <c r="D28" s="28">
        <v>3</v>
      </c>
      <c r="E28" s="27"/>
      <c r="F28" s="27"/>
      <c r="G28" s="27" t="s">
        <v>4</v>
      </c>
      <c r="H28" s="27">
        <v>14</v>
      </c>
      <c r="I28" s="27" t="s">
        <v>622</v>
      </c>
      <c r="J28" s="27">
        <v>8</v>
      </c>
      <c r="K28" s="27">
        <v>3</v>
      </c>
      <c r="L28" s="27">
        <v>8</v>
      </c>
      <c r="M28" s="29">
        <v>35</v>
      </c>
      <c r="N28" s="30">
        <v>36</v>
      </c>
      <c r="O28" s="30">
        <v>150</v>
      </c>
      <c r="P28" s="30">
        <v>5</v>
      </c>
      <c r="Q28" s="30">
        <v>63</v>
      </c>
      <c r="R28" s="30">
        <v>218</v>
      </c>
      <c r="S28" s="31">
        <f>R28/N28</f>
        <v>6.0555555555555554</v>
      </c>
      <c r="T28" s="32">
        <f>O28/R28</f>
        <v>0.68807339449541283</v>
      </c>
      <c r="U28" s="32">
        <f>P28/R28</f>
        <v>2.2935779816513763E-2</v>
      </c>
      <c r="V28" s="32">
        <f>Q28/R28</f>
        <v>0.28899082568807338</v>
      </c>
      <c r="W28" s="31">
        <f>P28/O28</f>
        <v>3.3333333333333333E-2</v>
      </c>
      <c r="X28" s="31">
        <f>Q28/(O28+P28)</f>
        <v>0.40645161290322579</v>
      </c>
      <c r="Y28" s="65">
        <f>R28/R$488</f>
        <v>6.3328094724885906E-4</v>
      </c>
      <c r="Z28" s="33">
        <v>235</v>
      </c>
      <c r="AA28" s="33">
        <v>299</v>
      </c>
      <c r="AB28" s="29">
        <v>339</v>
      </c>
      <c r="AC28" s="34">
        <f>Z28/R28</f>
        <v>1.0779816513761469</v>
      </c>
      <c r="AD28" s="34">
        <f>AA28/Z28</f>
        <v>1.2723404255319148</v>
      </c>
      <c r="AE28" s="34">
        <f>AB28/AA28</f>
        <v>1.1337792642140467</v>
      </c>
      <c r="AF28" s="35">
        <f>AB28/R28</f>
        <v>1.5550458715596329</v>
      </c>
      <c r="AG28" s="29">
        <f>0.6*Z28+0.4*AA28</f>
        <v>260.60000000000002</v>
      </c>
      <c r="AH28" s="54">
        <v>878</v>
      </c>
      <c r="AI28" s="59">
        <f>AH28/AG28</f>
        <v>3.3691481197237141</v>
      </c>
      <c r="AJ28" s="61">
        <f>AI28/AI$488</f>
        <v>0.71595855143157883</v>
      </c>
    </row>
    <row r="29" spans="1:36" ht="15" customHeight="1" x14ac:dyDescent="0.2">
      <c r="A29" s="27" t="s">
        <v>3</v>
      </c>
      <c r="B29" s="27"/>
      <c r="C29" s="27" t="s">
        <v>117</v>
      </c>
      <c r="D29" s="27">
        <v>3</v>
      </c>
      <c r="E29" s="27"/>
      <c r="F29" s="27"/>
      <c r="G29" s="27" t="s">
        <v>4</v>
      </c>
      <c r="H29" s="27">
        <v>14</v>
      </c>
      <c r="I29" s="27" t="s">
        <v>622</v>
      </c>
      <c r="J29" s="27">
        <v>8</v>
      </c>
      <c r="K29" s="27">
        <v>3</v>
      </c>
      <c r="L29" s="27">
        <v>9</v>
      </c>
      <c r="M29" s="29">
        <v>29</v>
      </c>
      <c r="N29" s="30">
        <v>29</v>
      </c>
      <c r="O29" s="30">
        <v>75</v>
      </c>
      <c r="P29" s="30">
        <v>4</v>
      </c>
      <c r="Q29" s="30">
        <v>58</v>
      </c>
      <c r="R29" s="30">
        <v>137</v>
      </c>
      <c r="S29" s="31">
        <f>R29/N29</f>
        <v>4.7241379310344831</v>
      </c>
      <c r="T29" s="32">
        <f>O29/R29</f>
        <v>0.54744525547445255</v>
      </c>
      <c r="U29" s="32">
        <f>P29/R29</f>
        <v>2.9197080291970802E-2</v>
      </c>
      <c r="V29" s="32">
        <f>Q29/R29</f>
        <v>0.42335766423357662</v>
      </c>
      <c r="W29" s="31">
        <f>P29/O29</f>
        <v>5.3333333333333337E-2</v>
      </c>
      <c r="X29" s="31">
        <f>Q29/(O29+P29)</f>
        <v>0.73417721518987344</v>
      </c>
      <c r="Y29" s="65">
        <f>R29/R$488</f>
        <v>3.9797931088575086E-4</v>
      </c>
      <c r="Z29" s="33">
        <v>120</v>
      </c>
      <c r="AA29" s="33">
        <v>157</v>
      </c>
      <c r="AB29" s="29">
        <v>206</v>
      </c>
      <c r="AC29" s="34">
        <f>Z29/R29</f>
        <v>0.87591240875912413</v>
      </c>
      <c r="AD29" s="34">
        <f>AA29/Z29</f>
        <v>1.3083333333333333</v>
      </c>
      <c r="AE29" s="34">
        <f>AB29/AA29</f>
        <v>1.3121019108280254</v>
      </c>
      <c r="AF29" s="35">
        <f>AB29/R29</f>
        <v>1.5036496350364963</v>
      </c>
      <c r="AG29" s="29">
        <f>0.6*Z29+0.4*AA29</f>
        <v>134.80000000000001</v>
      </c>
      <c r="AH29" s="54">
        <v>696</v>
      </c>
      <c r="AI29" s="59">
        <f>AH29/AG29</f>
        <v>5.16320474777448</v>
      </c>
      <c r="AJ29" s="61">
        <f>AI29/AI$488</f>
        <v>1.0972033465434012</v>
      </c>
    </row>
    <row r="30" spans="1:36" ht="15" customHeight="1" x14ac:dyDescent="0.2">
      <c r="A30" s="28" t="s">
        <v>577</v>
      </c>
      <c r="B30" s="28"/>
      <c r="C30" s="28" t="s">
        <v>115</v>
      </c>
      <c r="D30" s="28">
        <v>22</v>
      </c>
      <c r="E30" s="27" t="s">
        <v>421</v>
      </c>
      <c r="F30" s="27"/>
      <c r="G30" s="27" t="s">
        <v>428</v>
      </c>
      <c r="H30" s="27">
        <v>19</v>
      </c>
      <c r="I30" s="27" t="s">
        <v>622</v>
      </c>
      <c r="J30" s="27">
        <v>8</v>
      </c>
      <c r="K30" s="27">
        <v>4</v>
      </c>
      <c r="L30" s="27">
        <v>7</v>
      </c>
      <c r="M30" s="29">
        <v>206</v>
      </c>
      <c r="N30" s="30">
        <v>217</v>
      </c>
      <c r="O30" s="30">
        <v>217</v>
      </c>
      <c r="P30" s="30">
        <v>38</v>
      </c>
      <c r="Q30" s="30">
        <v>855</v>
      </c>
      <c r="R30" s="30">
        <v>1110</v>
      </c>
      <c r="S30" s="31">
        <f>R30/N30</f>
        <v>5.1152073732718897</v>
      </c>
      <c r="T30" s="32">
        <f>O30/R30</f>
        <v>0.1954954954954955</v>
      </c>
      <c r="U30" s="32">
        <f>P30/R30</f>
        <v>3.4234234234234232E-2</v>
      </c>
      <c r="V30" s="32">
        <f>Q30/R30</f>
        <v>0.77027027027027029</v>
      </c>
      <c r="W30" s="31">
        <f>P30/O30</f>
        <v>0.17511520737327188</v>
      </c>
      <c r="X30" s="31">
        <f>Q30/(O30+P30)</f>
        <v>3.3529411764705883</v>
      </c>
      <c r="Y30" s="65">
        <f>R30/R$488</f>
        <v>3.224503905716668E-3</v>
      </c>
      <c r="Z30" s="29">
        <v>1504</v>
      </c>
      <c r="AA30" s="29">
        <v>2198</v>
      </c>
      <c r="AB30" s="29">
        <v>1876</v>
      </c>
      <c r="AC30" s="34">
        <f>Z30/R30</f>
        <v>1.3549549549549549</v>
      </c>
      <c r="AD30" s="34">
        <f>AA30/Z30</f>
        <v>1.4614361702127661</v>
      </c>
      <c r="AE30" s="34">
        <f>AB30/AA30</f>
        <v>0.85350318471337583</v>
      </c>
      <c r="AF30" s="35">
        <f>AB30/R30</f>
        <v>1.6900900900900901</v>
      </c>
      <c r="AG30" s="29">
        <f>0.6*Z30+0.4*AA30</f>
        <v>1781.6</v>
      </c>
      <c r="AH30" s="54">
        <v>25559</v>
      </c>
      <c r="AI30" s="59">
        <f>AH30/AG30</f>
        <v>14.346093399191739</v>
      </c>
      <c r="AJ30" s="61">
        <f>AI30/AI$488</f>
        <v>3.0486069130227911</v>
      </c>
    </row>
    <row r="31" spans="1:36" ht="15" customHeight="1" x14ac:dyDescent="0.2">
      <c r="A31" s="28" t="s">
        <v>42</v>
      </c>
      <c r="B31" s="28"/>
      <c r="C31" s="27" t="s">
        <v>113</v>
      </c>
      <c r="D31" s="28">
        <v>16</v>
      </c>
      <c r="E31" s="27"/>
      <c r="F31" s="27" t="s">
        <v>481</v>
      </c>
      <c r="G31" s="27" t="s">
        <v>73</v>
      </c>
      <c r="H31" s="27">
        <v>11</v>
      </c>
      <c r="I31" s="27" t="s">
        <v>624</v>
      </c>
      <c r="J31" s="27">
        <v>4</v>
      </c>
      <c r="K31" s="27">
        <v>4</v>
      </c>
      <c r="L31" s="27">
        <v>16</v>
      </c>
      <c r="M31" s="29">
        <v>157</v>
      </c>
      <c r="N31" s="30">
        <v>226</v>
      </c>
      <c r="O31" s="30">
        <v>198</v>
      </c>
      <c r="P31" s="30">
        <v>324</v>
      </c>
      <c r="Q31" s="30">
        <v>602</v>
      </c>
      <c r="R31" s="30">
        <v>1124</v>
      </c>
      <c r="S31" s="31">
        <f>R31/N31</f>
        <v>4.9734513274336285</v>
      </c>
      <c r="T31" s="32">
        <f>O31/R31</f>
        <v>0.17615658362989323</v>
      </c>
      <c r="U31" s="32">
        <f>P31/R31</f>
        <v>0.28825622775800713</v>
      </c>
      <c r="V31" s="32">
        <f>Q31/R31</f>
        <v>0.53558718861209964</v>
      </c>
      <c r="W31" s="31">
        <f>P31/O31</f>
        <v>1.6363636363636365</v>
      </c>
      <c r="X31" s="31">
        <f>Q31/(O31+P31)</f>
        <v>1.1532567049808429</v>
      </c>
      <c r="Y31" s="65">
        <f>R31/R$488</f>
        <v>3.2651733243473286E-3</v>
      </c>
      <c r="Z31" s="29">
        <v>1179</v>
      </c>
      <c r="AA31" s="29">
        <v>1255</v>
      </c>
      <c r="AB31" s="29">
        <v>1186</v>
      </c>
      <c r="AC31" s="34">
        <f>Z31/R31</f>
        <v>1.0489323843416369</v>
      </c>
      <c r="AD31" s="34">
        <f>AA31/Z31</f>
        <v>1.0644614079728583</v>
      </c>
      <c r="AE31" s="34">
        <f>AB31/AA31</f>
        <v>0.94501992031872506</v>
      </c>
      <c r="AF31" s="35">
        <f>AB31/R31</f>
        <v>1.0551601423487544</v>
      </c>
      <c r="AG31" s="29">
        <f>0.6*Z31+0.4*AA31</f>
        <v>1209.4000000000001</v>
      </c>
      <c r="AH31" s="54">
        <v>7419</v>
      </c>
      <c r="AI31" s="59">
        <f>AH31/AG31</f>
        <v>6.1344468331403998</v>
      </c>
      <c r="AJ31" s="61">
        <f>AI31/AI$488</f>
        <v>1.3035964915812019</v>
      </c>
    </row>
    <row r="32" spans="1:36" ht="15" customHeight="1" x14ac:dyDescent="0.2">
      <c r="A32" s="27" t="s">
        <v>351</v>
      </c>
      <c r="B32" s="27"/>
      <c r="C32" s="27" t="s">
        <v>325</v>
      </c>
      <c r="D32" s="27">
        <v>4</v>
      </c>
      <c r="E32" s="27"/>
      <c r="F32" s="27"/>
      <c r="G32" s="27" t="s">
        <v>331</v>
      </c>
      <c r="H32" s="27">
        <v>17</v>
      </c>
      <c r="I32" s="27" t="s">
        <v>620</v>
      </c>
      <c r="J32" s="27">
        <v>10</v>
      </c>
      <c r="K32" s="27">
        <v>1</v>
      </c>
      <c r="L32" s="27">
        <v>13</v>
      </c>
      <c r="M32" s="29">
        <v>83</v>
      </c>
      <c r="N32" s="30">
        <v>94</v>
      </c>
      <c r="O32" s="30">
        <v>501</v>
      </c>
      <c r="P32" s="30">
        <v>24</v>
      </c>
      <c r="Q32" s="30">
        <v>7</v>
      </c>
      <c r="R32" s="30">
        <v>532</v>
      </c>
      <c r="S32" s="31">
        <f>R32/N32</f>
        <v>5.6595744680851068</v>
      </c>
      <c r="T32" s="32">
        <f>O32/R32</f>
        <v>0.94172932330827064</v>
      </c>
      <c r="U32" s="32">
        <f>P32/R32</f>
        <v>4.5112781954887216E-2</v>
      </c>
      <c r="V32" s="32">
        <f>Q32/R32</f>
        <v>1.3157894736842105E-2</v>
      </c>
      <c r="W32" s="31">
        <f>P32/O32</f>
        <v>4.790419161676647E-2</v>
      </c>
      <c r="X32" s="31">
        <f>Q32/(O32+P32)</f>
        <v>1.3333333333333334E-2</v>
      </c>
      <c r="Y32" s="65">
        <f>R32/R$488</f>
        <v>1.5454379079651056E-3</v>
      </c>
      <c r="Z32" s="33">
        <v>573</v>
      </c>
      <c r="AA32" s="33">
        <v>648</v>
      </c>
      <c r="AB32" s="29">
        <v>794</v>
      </c>
      <c r="AC32" s="34">
        <f>Z32/R32</f>
        <v>1.0770676691729324</v>
      </c>
      <c r="AD32" s="34">
        <f>AA32/Z32</f>
        <v>1.130890052356021</v>
      </c>
      <c r="AE32" s="34">
        <f>AB32/AA32</f>
        <v>1.2253086419753085</v>
      </c>
      <c r="AF32" s="35">
        <f>AB32/R32</f>
        <v>1.4924812030075187</v>
      </c>
      <c r="AG32" s="29">
        <f>0.6*Z32+0.4*AA32</f>
        <v>603</v>
      </c>
      <c r="AH32" s="54">
        <v>3959</v>
      </c>
      <c r="AI32" s="59">
        <f>AH32/AG32</f>
        <v>6.5655058043117744</v>
      </c>
      <c r="AJ32" s="61">
        <f>AI32/AI$488</f>
        <v>1.3951983878512753</v>
      </c>
    </row>
    <row r="33" spans="1:36" ht="15" customHeight="1" x14ac:dyDescent="0.2">
      <c r="A33" s="28" t="s">
        <v>45</v>
      </c>
      <c r="B33" s="28"/>
      <c r="C33" s="28" t="s">
        <v>111</v>
      </c>
      <c r="D33" s="28">
        <v>28</v>
      </c>
      <c r="E33" s="27"/>
      <c r="F33" s="27"/>
      <c r="G33" s="27" t="s">
        <v>426</v>
      </c>
      <c r="H33" s="27">
        <v>13</v>
      </c>
      <c r="I33" s="27" t="s">
        <v>111</v>
      </c>
      <c r="J33" s="27">
        <v>5</v>
      </c>
      <c r="K33" s="27">
        <v>4</v>
      </c>
      <c r="L33" s="27">
        <v>18</v>
      </c>
      <c r="M33" s="29">
        <v>40</v>
      </c>
      <c r="N33" s="30">
        <v>40</v>
      </c>
      <c r="O33" s="30">
        <v>115</v>
      </c>
      <c r="P33" s="30">
        <v>13</v>
      </c>
      <c r="Q33" s="30">
        <v>109</v>
      </c>
      <c r="R33" s="30">
        <v>237</v>
      </c>
      <c r="S33" s="31">
        <f>R33/N33</f>
        <v>5.9249999999999998</v>
      </c>
      <c r="T33" s="32">
        <f>O33/R33</f>
        <v>0.48523206751054854</v>
      </c>
      <c r="U33" s="32">
        <f>P33/R33</f>
        <v>5.4852320675105488E-2</v>
      </c>
      <c r="V33" s="32">
        <f>Q33/R33</f>
        <v>0.45991561181434598</v>
      </c>
      <c r="W33" s="31">
        <f>P33/O33</f>
        <v>0.11304347826086956</v>
      </c>
      <c r="X33" s="31">
        <f>Q33/(O33+P33)</f>
        <v>0.8515625</v>
      </c>
      <c r="Y33" s="65">
        <f>R33/R$488</f>
        <v>6.8847515824761285E-4</v>
      </c>
      <c r="Z33" s="33">
        <v>258</v>
      </c>
      <c r="AA33" s="33">
        <v>301</v>
      </c>
      <c r="AB33" s="29">
        <v>351</v>
      </c>
      <c r="AC33" s="34">
        <f>Z33/R33</f>
        <v>1.0886075949367089</v>
      </c>
      <c r="AD33" s="34">
        <f>AA33/Z33</f>
        <v>1.1666666666666667</v>
      </c>
      <c r="AE33" s="34">
        <f>AB33/AA33</f>
        <v>1.1661129568106312</v>
      </c>
      <c r="AF33" s="35">
        <f>AB33/R33</f>
        <v>1.481012658227848</v>
      </c>
      <c r="AG33" s="29">
        <f>0.6*Z33+0.4*AA33</f>
        <v>275.2</v>
      </c>
      <c r="AH33" s="54">
        <v>1516</v>
      </c>
      <c r="AI33" s="59">
        <f>AH33/AG33</f>
        <v>5.5087209302325579</v>
      </c>
      <c r="AJ33" s="61">
        <f>AI33/AI$488</f>
        <v>1.1706270301269952</v>
      </c>
    </row>
    <row r="34" spans="1:36" ht="15" customHeight="1" x14ac:dyDescent="0.2">
      <c r="A34" s="27" t="s">
        <v>501</v>
      </c>
      <c r="B34" s="27"/>
      <c r="C34" s="28" t="s">
        <v>115</v>
      </c>
      <c r="D34" s="28">
        <v>22</v>
      </c>
      <c r="E34" s="27"/>
      <c r="F34" s="27"/>
      <c r="G34" s="27" t="s">
        <v>428</v>
      </c>
      <c r="H34" s="27">
        <v>19</v>
      </c>
      <c r="I34" s="27" t="s">
        <v>624</v>
      </c>
      <c r="J34" s="27">
        <v>4</v>
      </c>
      <c r="K34" s="27">
        <v>4</v>
      </c>
      <c r="L34" s="27">
        <v>8</v>
      </c>
      <c r="M34" s="29">
        <v>39</v>
      </c>
      <c r="N34" s="30">
        <v>51</v>
      </c>
      <c r="O34" s="30">
        <v>140</v>
      </c>
      <c r="P34" s="30">
        <v>14</v>
      </c>
      <c r="Q34" s="30">
        <v>110</v>
      </c>
      <c r="R34" s="30">
        <v>264</v>
      </c>
      <c r="S34" s="31">
        <f>R34/N34</f>
        <v>5.1764705882352944</v>
      </c>
      <c r="T34" s="32">
        <f>O34/R34</f>
        <v>0.53030303030303028</v>
      </c>
      <c r="U34" s="32">
        <f>P34/R34</f>
        <v>5.3030303030303032E-2</v>
      </c>
      <c r="V34" s="32">
        <f>Q34/R34</f>
        <v>0.41666666666666669</v>
      </c>
      <c r="W34" s="31">
        <f>P34/O34</f>
        <v>0.1</v>
      </c>
      <c r="X34" s="31">
        <f>Q34/(O34+P34)</f>
        <v>0.7142857142857143</v>
      </c>
      <c r="Y34" s="65">
        <f>R34/R$488</f>
        <v>7.6690903703531554E-4</v>
      </c>
      <c r="Z34" s="33">
        <v>300</v>
      </c>
      <c r="AA34" s="33">
        <v>457</v>
      </c>
      <c r="AB34" s="29">
        <v>466</v>
      </c>
      <c r="AC34" s="34">
        <f>Z34/R34</f>
        <v>1.1363636363636365</v>
      </c>
      <c r="AD34" s="34">
        <f>AA34/Z34</f>
        <v>1.5233333333333334</v>
      </c>
      <c r="AE34" s="34">
        <f>AB34/AA34</f>
        <v>1.0196936542669583</v>
      </c>
      <c r="AF34" s="35">
        <f>AB34/R34</f>
        <v>1.7651515151515151</v>
      </c>
      <c r="AG34" s="29">
        <f>0.6*Z34+0.4*AA34</f>
        <v>362.8</v>
      </c>
      <c r="AH34" s="54">
        <v>2281</v>
      </c>
      <c r="AI34" s="59">
        <f>AH34/AG34</f>
        <v>6.2872105843439909</v>
      </c>
      <c r="AJ34" s="61">
        <f>AI34/AI$488</f>
        <v>1.3360594496158122</v>
      </c>
    </row>
    <row r="35" spans="1:36" ht="15" customHeight="1" x14ac:dyDescent="0.2">
      <c r="A35" s="28" t="s">
        <v>502</v>
      </c>
      <c r="B35" s="28"/>
      <c r="C35" s="28" t="s">
        <v>122</v>
      </c>
      <c r="D35" s="28">
        <v>15</v>
      </c>
      <c r="E35" s="27"/>
      <c r="F35" s="27"/>
      <c r="G35" s="27" t="s">
        <v>333</v>
      </c>
      <c r="H35" s="27">
        <v>22</v>
      </c>
      <c r="I35" s="27" t="s">
        <v>621</v>
      </c>
      <c r="J35" s="27">
        <v>7</v>
      </c>
      <c r="K35" s="27">
        <v>2</v>
      </c>
      <c r="L35" s="27">
        <v>14</v>
      </c>
      <c r="M35" s="29">
        <v>56</v>
      </c>
      <c r="N35" s="30">
        <v>56</v>
      </c>
      <c r="O35" s="30">
        <v>73</v>
      </c>
      <c r="P35" s="30">
        <v>34</v>
      </c>
      <c r="Q35" s="30">
        <v>190</v>
      </c>
      <c r="R35" s="30">
        <v>297</v>
      </c>
      <c r="S35" s="31">
        <f>R35/N35</f>
        <v>5.3035714285714288</v>
      </c>
      <c r="T35" s="32">
        <f>O35/R35</f>
        <v>0.24579124579124578</v>
      </c>
      <c r="U35" s="32">
        <f>P35/R35</f>
        <v>0.11447811447811448</v>
      </c>
      <c r="V35" s="32">
        <f>Q35/R35</f>
        <v>0.63973063973063971</v>
      </c>
      <c r="W35" s="31">
        <f>P35/O35</f>
        <v>0.46575342465753422</v>
      </c>
      <c r="X35" s="31">
        <f>Q35/(O35+P35)</f>
        <v>1.7757009345794392</v>
      </c>
      <c r="Y35" s="65">
        <f>R35/R$488</f>
        <v>8.6277266666473008E-4</v>
      </c>
      <c r="Z35" s="33">
        <v>254</v>
      </c>
      <c r="AA35" s="33">
        <v>273</v>
      </c>
      <c r="AB35" s="29">
        <v>323</v>
      </c>
      <c r="AC35" s="34">
        <f>Z35/R35</f>
        <v>0.85521885521885521</v>
      </c>
      <c r="AD35" s="34">
        <f>AA35/Z35</f>
        <v>1.0748031496062993</v>
      </c>
      <c r="AE35" s="34">
        <f>AB35/AA35</f>
        <v>1.1831501831501832</v>
      </c>
      <c r="AF35" s="35">
        <f>AB35/R35</f>
        <v>1.0875420875420876</v>
      </c>
      <c r="AG35" s="29">
        <f>0.6*Z35+0.4*AA35</f>
        <v>261.60000000000002</v>
      </c>
      <c r="AH35" s="54">
        <v>2487</v>
      </c>
      <c r="AI35" s="59">
        <f>AH35/AG35</f>
        <v>9.5068807339449535</v>
      </c>
      <c r="AJ35" s="61">
        <f>AI35/AI$488</f>
        <v>2.0202532857077777</v>
      </c>
    </row>
    <row r="36" spans="1:36" ht="15" customHeight="1" x14ac:dyDescent="0.2">
      <c r="A36" s="27" t="s">
        <v>560</v>
      </c>
      <c r="B36" s="27"/>
      <c r="C36" s="28" t="s">
        <v>120</v>
      </c>
      <c r="D36" s="28">
        <v>9</v>
      </c>
      <c r="E36" s="27"/>
      <c r="F36" s="27"/>
      <c r="G36" s="27" t="s">
        <v>172</v>
      </c>
      <c r="H36" s="27">
        <v>1</v>
      </c>
      <c r="I36" s="27" t="s">
        <v>618</v>
      </c>
      <c r="J36" s="27">
        <v>6</v>
      </c>
      <c r="K36" s="27">
        <v>6</v>
      </c>
      <c r="L36" s="27">
        <v>10</v>
      </c>
      <c r="M36" s="29">
        <v>24</v>
      </c>
      <c r="N36" s="30">
        <v>36</v>
      </c>
      <c r="O36" s="30">
        <v>28</v>
      </c>
      <c r="P36" s="30">
        <v>9</v>
      </c>
      <c r="Q36" s="30">
        <v>136</v>
      </c>
      <c r="R36" s="30">
        <v>173</v>
      </c>
      <c r="S36" s="31">
        <f>R36/N36</f>
        <v>4.8055555555555554</v>
      </c>
      <c r="T36" s="32">
        <f>O36/R36</f>
        <v>0.16184971098265896</v>
      </c>
      <c r="U36" s="32">
        <f>P36/R36</f>
        <v>5.2023121387283239E-2</v>
      </c>
      <c r="V36" s="32">
        <f>Q36/R36</f>
        <v>0.78612716763005785</v>
      </c>
      <c r="W36" s="31">
        <f>P36/O36</f>
        <v>0.32142857142857145</v>
      </c>
      <c r="X36" s="31">
        <f>Q36/(O36+P36)</f>
        <v>3.6756756756756759</v>
      </c>
      <c r="Y36" s="65">
        <f>R36/R$488</f>
        <v>5.0255781593602116E-4</v>
      </c>
      <c r="Z36" s="33">
        <v>174</v>
      </c>
      <c r="AA36" s="41">
        <v>217</v>
      </c>
      <c r="AB36" s="37">
        <v>233</v>
      </c>
      <c r="AC36" s="34">
        <f>Z36/R36</f>
        <v>1.0057803468208093</v>
      </c>
      <c r="AD36" s="34">
        <f>AA36/Z36</f>
        <v>1.2471264367816093</v>
      </c>
      <c r="AE36" s="34">
        <f>AB36/AA36</f>
        <v>1.0737327188940091</v>
      </c>
      <c r="AF36" s="35">
        <f>AB36/R36</f>
        <v>1.346820809248555</v>
      </c>
      <c r="AG36" s="29">
        <f>0.6*Z36+0.4*AA36</f>
        <v>191.2</v>
      </c>
      <c r="AH36" s="56">
        <v>1966</v>
      </c>
      <c r="AI36" s="59">
        <f>AH36/AG36</f>
        <v>10.282426778242678</v>
      </c>
      <c r="AJ36" s="61">
        <f>AI36/AI$488</f>
        <v>2.1850601753762033</v>
      </c>
    </row>
    <row r="37" spans="1:36" ht="15" customHeight="1" x14ac:dyDescent="0.2">
      <c r="A37" s="28" t="s">
        <v>259</v>
      </c>
      <c r="B37" s="28"/>
      <c r="C37" s="28" t="s">
        <v>123</v>
      </c>
      <c r="D37" s="28">
        <v>23</v>
      </c>
      <c r="E37" s="27" t="s">
        <v>420</v>
      </c>
      <c r="F37" s="27"/>
      <c r="G37" s="27" t="s">
        <v>30</v>
      </c>
      <c r="H37" s="27">
        <v>8</v>
      </c>
      <c r="I37" s="27" t="s">
        <v>619</v>
      </c>
      <c r="J37" s="27">
        <v>9</v>
      </c>
      <c r="K37" s="27">
        <v>1</v>
      </c>
      <c r="L37" s="27">
        <v>7</v>
      </c>
      <c r="M37" s="29">
        <v>582</v>
      </c>
      <c r="N37" s="30">
        <v>613</v>
      </c>
      <c r="O37" s="30">
        <v>126</v>
      </c>
      <c r="P37" s="30">
        <v>325</v>
      </c>
      <c r="Q37" s="30">
        <v>2536</v>
      </c>
      <c r="R37" s="30">
        <v>2987</v>
      </c>
      <c r="S37" s="31">
        <f>R37/N37</f>
        <v>4.8727569331158236</v>
      </c>
      <c r="T37" s="32">
        <f>O37/R37</f>
        <v>4.2182792099096082E-2</v>
      </c>
      <c r="U37" s="32">
        <f>P37/R37</f>
        <v>0.10880482089052561</v>
      </c>
      <c r="V37" s="32">
        <f>Q37/R37</f>
        <v>0.84901238701037829</v>
      </c>
      <c r="W37" s="31">
        <f>P37/O37</f>
        <v>2.5793650793650795</v>
      </c>
      <c r="X37" s="31">
        <f>Q37/(O37+P37)</f>
        <v>5.623059866962306</v>
      </c>
      <c r="Y37" s="65">
        <f>R37/R$488</f>
        <v>8.6771109606988174E-3</v>
      </c>
      <c r="Z37" s="29">
        <v>3244</v>
      </c>
      <c r="AA37" s="29">
        <v>4053</v>
      </c>
      <c r="AB37" s="29">
        <v>4846</v>
      </c>
      <c r="AC37" s="34">
        <f>Z37/R37</f>
        <v>1.086039504519585</v>
      </c>
      <c r="AD37" s="34">
        <f>AA37/Z37</f>
        <v>1.2493834771886561</v>
      </c>
      <c r="AE37" s="34">
        <f>AB37/AA37</f>
        <v>1.1956575376264496</v>
      </c>
      <c r="AF37" s="35">
        <f>AB37/R37</f>
        <v>1.6223635754938064</v>
      </c>
      <c r="AG37" s="29">
        <f>0.6*Z37+0.4*AA37</f>
        <v>3567.6</v>
      </c>
      <c r="AH37" s="54">
        <v>9312</v>
      </c>
      <c r="AI37" s="59">
        <f>AH37/AG37</f>
        <v>2.6101580894719141</v>
      </c>
      <c r="AJ37" s="61">
        <f>AI37/AI$488</f>
        <v>0.55466988637441572</v>
      </c>
    </row>
    <row r="38" spans="1:36" ht="15" customHeight="1" x14ac:dyDescent="0.2">
      <c r="A38" s="28" t="s">
        <v>62</v>
      </c>
      <c r="B38" s="28"/>
      <c r="C38" s="27" t="s">
        <v>81</v>
      </c>
      <c r="D38" s="27">
        <v>10</v>
      </c>
      <c r="E38" s="27"/>
      <c r="F38" s="27"/>
      <c r="G38" s="27" t="s">
        <v>287</v>
      </c>
      <c r="H38" s="27">
        <v>25</v>
      </c>
      <c r="I38" s="27" t="s">
        <v>624</v>
      </c>
      <c r="J38" s="27">
        <v>4</v>
      </c>
      <c r="K38" s="27">
        <v>4</v>
      </c>
      <c r="L38" s="27">
        <v>11</v>
      </c>
      <c r="M38" s="29">
        <v>90</v>
      </c>
      <c r="N38" s="30">
        <v>91</v>
      </c>
      <c r="O38" s="30">
        <v>79</v>
      </c>
      <c r="P38" s="30">
        <v>18</v>
      </c>
      <c r="Q38" s="30">
        <v>333</v>
      </c>
      <c r="R38" s="30">
        <v>430</v>
      </c>
      <c r="S38" s="31">
        <f>R38/N38</f>
        <v>4.7252747252747254</v>
      </c>
      <c r="T38" s="32">
        <f>O38/R38</f>
        <v>0.18372093023255814</v>
      </c>
      <c r="U38" s="32">
        <f>P38/R38</f>
        <v>4.1860465116279069E-2</v>
      </c>
      <c r="V38" s="32">
        <f>Q38/R38</f>
        <v>0.77441860465116275</v>
      </c>
      <c r="W38" s="31">
        <f>P38/O38</f>
        <v>0.22784810126582278</v>
      </c>
      <c r="X38" s="31">
        <f>Q38/(O38+P38)</f>
        <v>3.4329896907216493</v>
      </c>
      <c r="Y38" s="65">
        <f>R38/R$488</f>
        <v>1.2491321436560064E-3</v>
      </c>
      <c r="Z38" s="33">
        <v>474</v>
      </c>
      <c r="AA38" s="33">
        <v>536</v>
      </c>
      <c r="AB38" s="29">
        <v>578</v>
      </c>
      <c r="AC38" s="34">
        <f>Z38/R38</f>
        <v>1.1023255813953488</v>
      </c>
      <c r="AD38" s="34">
        <f>AA38/Z38</f>
        <v>1.130801687763713</v>
      </c>
      <c r="AE38" s="34">
        <f>AB38/AA38</f>
        <v>1.0783582089552239</v>
      </c>
      <c r="AF38" s="35">
        <f>AB38/R38</f>
        <v>1.344186046511628</v>
      </c>
      <c r="AG38" s="29">
        <f>0.6*Z38+0.4*AA38</f>
        <v>498.79999999999995</v>
      </c>
      <c r="AH38" s="54">
        <v>4147</v>
      </c>
      <c r="AI38" s="59">
        <f>AH38/AG38</f>
        <v>8.3139534883720945</v>
      </c>
      <c r="AJ38" s="61">
        <f>AI38/AI$488</f>
        <v>1.7667510850465473</v>
      </c>
    </row>
    <row r="39" spans="1:36" ht="15" customHeight="1" x14ac:dyDescent="0.2">
      <c r="A39" s="28" t="s">
        <v>296</v>
      </c>
      <c r="B39" s="28"/>
      <c r="C39" s="28" t="s">
        <v>119</v>
      </c>
      <c r="D39" s="28">
        <v>31</v>
      </c>
      <c r="E39" s="27"/>
      <c r="F39" s="27"/>
      <c r="G39" s="27" t="s">
        <v>332</v>
      </c>
      <c r="H39" s="27">
        <v>18</v>
      </c>
      <c r="I39" s="27" t="s">
        <v>620</v>
      </c>
      <c r="J39" s="27">
        <v>10</v>
      </c>
      <c r="K39" s="27">
        <v>1</v>
      </c>
      <c r="L39" s="27">
        <v>8</v>
      </c>
      <c r="M39" s="29">
        <v>169</v>
      </c>
      <c r="N39" s="30">
        <v>171</v>
      </c>
      <c r="O39" s="30">
        <v>350</v>
      </c>
      <c r="P39" s="30">
        <v>83</v>
      </c>
      <c r="Q39" s="30">
        <v>469</v>
      </c>
      <c r="R39" s="30">
        <v>902</v>
      </c>
      <c r="S39" s="31">
        <f>R39/N39</f>
        <v>5.2748538011695905</v>
      </c>
      <c r="T39" s="32">
        <f>O39/R39</f>
        <v>0.38802660753880264</v>
      </c>
      <c r="U39" s="32">
        <f>P39/R39</f>
        <v>9.2017738359201767E-2</v>
      </c>
      <c r="V39" s="32">
        <f>Q39/R39</f>
        <v>0.51995565410199551</v>
      </c>
      <c r="W39" s="31">
        <f>P39/O39</f>
        <v>0.23714285714285716</v>
      </c>
      <c r="X39" s="31">
        <f>Q39/(O39+P39)</f>
        <v>1.0831408775981524</v>
      </c>
      <c r="Y39" s="65">
        <f>R39/R$488</f>
        <v>2.6202725432039947E-3</v>
      </c>
      <c r="Z39" s="33">
        <v>920</v>
      </c>
      <c r="AA39" s="29">
        <v>1096</v>
      </c>
      <c r="AB39" s="29">
        <v>1116</v>
      </c>
      <c r="AC39" s="34">
        <f>Z39/R39</f>
        <v>1.0199556541019956</v>
      </c>
      <c r="AD39" s="34">
        <f>AA39/Z39</f>
        <v>1.191304347826087</v>
      </c>
      <c r="AE39" s="34">
        <f>AB39/AA39</f>
        <v>1.0182481751824817</v>
      </c>
      <c r="AF39" s="35">
        <f>AB39/R39</f>
        <v>1.2372505543237251</v>
      </c>
      <c r="AG39" s="29">
        <f>0.6*Z39+0.4*AA39</f>
        <v>990.40000000000009</v>
      </c>
      <c r="AH39" s="54">
        <v>6646</v>
      </c>
      <c r="AI39" s="59">
        <f>AH39/AG39</f>
        <v>6.7104200323101768</v>
      </c>
      <c r="AJ39" s="61">
        <f>AI39/AI$488</f>
        <v>1.4259932882452864</v>
      </c>
    </row>
    <row r="40" spans="1:36" ht="15" customHeight="1" x14ac:dyDescent="0.2">
      <c r="A40" s="27" t="s">
        <v>408</v>
      </c>
      <c r="B40" s="27"/>
      <c r="C40" s="27" t="s">
        <v>332</v>
      </c>
      <c r="D40" s="27">
        <v>25</v>
      </c>
      <c r="E40" s="27"/>
      <c r="F40" s="27"/>
      <c r="G40" s="27" t="s">
        <v>350</v>
      </c>
      <c r="H40" s="27">
        <v>2</v>
      </c>
      <c r="I40" s="27" t="s">
        <v>620</v>
      </c>
      <c r="J40" s="27">
        <v>10</v>
      </c>
      <c r="K40" s="27">
        <v>1</v>
      </c>
      <c r="L40" s="27">
        <v>9</v>
      </c>
      <c r="M40" s="29">
        <v>144</v>
      </c>
      <c r="N40" s="30">
        <v>162</v>
      </c>
      <c r="O40" s="30">
        <v>280</v>
      </c>
      <c r="P40" s="30">
        <v>42</v>
      </c>
      <c r="Q40" s="30">
        <v>425</v>
      </c>
      <c r="R40" s="30">
        <v>747</v>
      </c>
      <c r="S40" s="31">
        <f>R40/N40</f>
        <v>4.6111111111111107</v>
      </c>
      <c r="T40" s="32">
        <f>O40/R40</f>
        <v>0.37483266398929049</v>
      </c>
      <c r="U40" s="32">
        <f>P40/R40</f>
        <v>5.6224899598393573E-2</v>
      </c>
      <c r="V40" s="32">
        <f>Q40/R40</f>
        <v>0.5689424364123159</v>
      </c>
      <c r="W40" s="31">
        <f>P40/O40</f>
        <v>0.15</v>
      </c>
      <c r="X40" s="31">
        <f>Q40/(O40+P40)</f>
        <v>1.3198757763975155</v>
      </c>
      <c r="Y40" s="65">
        <f>R40/R$488</f>
        <v>2.1700039797931088E-3</v>
      </c>
      <c r="Z40" s="33">
        <v>978</v>
      </c>
      <c r="AA40" s="29">
        <v>1200</v>
      </c>
      <c r="AB40" s="29">
        <v>1641</v>
      </c>
      <c r="AC40" s="34">
        <f>Z40/R40</f>
        <v>1.3092369477911647</v>
      </c>
      <c r="AD40" s="34">
        <f>AA40/Z40</f>
        <v>1.2269938650306749</v>
      </c>
      <c r="AE40" s="34">
        <f>AB40/AA40</f>
        <v>1.3674999999999999</v>
      </c>
      <c r="AF40" s="35">
        <f>AB40/R40</f>
        <v>2.1967871485943773</v>
      </c>
      <c r="AG40" s="29">
        <f>0.6*Z40+0.4*AA40</f>
        <v>1066.8</v>
      </c>
      <c r="AH40" s="54">
        <v>5663</v>
      </c>
      <c r="AI40" s="59">
        <f>AH40/AG40</f>
        <v>5.3083989501312336</v>
      </c>
      <c r="AJ40" s="61">
        <f>AI40/AI$488</f>
        <v>1.1280577426998188</v>
      </c>
    </row>
    <row r="41" spans="1:36" ht="15" customHeight="1" x14ac:dyDescent="0.2">
      <c r="A41" s="28" t="s">
        <v>92</v>
      </c>
      <c r="B41" s="28"/>
      <c r="C41" s="27" t="s">
        <v>35</v>
      </c>
      <c r="D41" s="27">
        <v>11</v>
      </c>
      <c r="E41" s="27"/>
      <c r="F41" s="27"/>
      <c r="G41" s="27" t="s">
        <v>106</v>
      </c>
      <c r="H41" s="27">
        <v>12</v>
      </c>
      <c r="I41" s="27" t="s">
        <v>111</v>
      </c>
      <c r="J41" s="27">
        <v>5</v>
      </c>
      <c r="K41" s="27">
        <v>6</v>
      </c>
      <c r="L41" s="27">
        <v>4</v>
      </c>
      <c r="M41" s="29">
        <v>157</v>
      </c>
      <c r="N41" s="30">
        <v>159</v>
      </c>
      <c r="O41" s="30">
        <v>162</v>
      </c>
      <c r="P41" s="30">
        <v>39</v>
      </c>
      <c r="Q41" s="30">
        <v>472</v>
      </c>
      <c r="R41" s="30">
        <v>673</v>
      </c>
      <c r="S41" s="31">
        <f>R41/N41</f>
        <v>4.232704402515723</v>
      </c>
      <c r="T41" s="32">
        <f>O41/R41</f>
        <v>0.24071322436849926</v>
      </c>
      <c r="U41" s="32">
        <f>P41/R41</f>
        <v>5.7949479940564638E-2</v>
      </c>
      <c r="V41" s="32">
        <f>Q41/R41</f>
        <v>0.70133729569093606</v>
      </c>
      <c r="W41" s="31">
        <f>P41/O41</f>
        <v>0.24074074074074073</v>
      </c>
      <c r="X41" s="31">
        <f>Q41/(O41+P41)</f>
        <v>2.3482587064676617</v>
      </c>
      <c r="Y41" s="65">
        <f>R41/R$488</f>
        <v>1.9550370527453309E-3</v>
      </c>
      <c r="Z41" s="33">
        <v>753</v>
      </c>
      <c r="AA41" s="33">
        <v>946</v>
      </c>
      <c r="AB41" s="29">
        <v>1085</v>
      </c>
      <c r="AC41" s="34">
        <f>Z41/R41</f>
        <v>1.1188707280832095</v>
      </c>
      <c r="AD41" s="34">
        <f>AA41/Z41</f>
        <v>1.2563081009296149</v>
      </c>
      <c r="AE41" s="34">
        <f>AB41/AA41</f>
        <v>1.1469344608879493</v>
      </c>
      <c r="AF41" s="35">
        <f>AB41/R41</f>
        <v>1.612184249628529</v>
      </c>
      <c r="AG41" s="29">
        <f>0.6*Z41+0.4*AA41</f>
        <v>830.2</v>
      </c>
      <c r="AH41" s="54">
        <v>4904</v>
      </c>
      <c r="AI41" s="59">
        <f>AH41/AG41</f>
        <v>5.9070103589496501</v>
      </c>
      <c r="AJ41" s="61">
        <f>AI41/AI$488</f>
        <v>1.2552652568542264</v>
      </c>
    </row>
    <row r="42" spans="1:36" ht="15" customHeight="1" x14ac:dyDescent="0.2">
      <c r="A42" s="27" t="s">
        <v>352</v>
      </c>
      <c r="B42" s="27"/>
      <c r="C42" s="27" t="s">
        <v>325</v>
      </c>
      <c r="D42" s="27">
        <v>4</v>
      </c>
      <c r="E42" s="27"/>
      <c r="F42" s="27"/>
      <c r="G42" s="27" t="s">
        <v>331</v>
      </c>
      <c r="H42" s="27">
        <v>17</v>
      </c>
      <c r="I42" s="27" t="s">
        <v>620</v>
      </c>
      <c r="J42" s="27">
        <v>10</v>
      </c>
      <c r="K42" s="27">
        <v>1</v>
      </c>
      <c r="L42" s="27">
        <v>14</v>
      </c>
      <c r="M42" s="29">
        <v>5</v>
      </c>
      <c r="N42" s="30">
        <v>5</v>
      </c>
      <c r="O42" s="30">
        <v>19</v>
      </c>
      <c r="P42" s="30">
        <v>1</v>
      </c>
      <c r="Q42" s="30">
        <v>4</v>
      </c>
      <c r="R42" s="30">
        <v>24</v>
      </c>
      <c r="S42" s="31">
        <f>R42/N42</f>
        <v>4.8</v>
      </c>
      <c r="T42" s="32">
        <f>O42/R42</f>
        <v>0.79166666666666663</v>
      </c>
      <c r="U42" s="32">
        <f>P42/R42</f>
        <v>4.1666666666666664E-2</v>
      </c>
      <c r="V42" s="32">
        <f>Q42/R42</f>
        <v>0.16666666666666666</v>
      </c>
      <c r="W42" s="31">
        <f>P42/O42</f>
        <v>5.2631578947368418E-2</v>
      </c>
      <c r="X42" s="31">
        <f>Q42/(O42+P42)</f>
        <v>0.2</v>
      </c>
      <c r="Y42" s="65">
        <f>R42/R$488</f>
        <v>6.9719003366846869E-5</v>
      </c>
      <c r="Z42" s="33">
        <v>34</v>
      </c>
      <c r="AA42" s="33">
        <v>52</v>
      </c>
      <c r="AB42" s="29">
        <v>57</v>
      </c>
      <c r="AC42" s="34">
        <f>Z42/R42</f>
        <v>1.4166666666666667</v>
      </c>
      <c r="AD42" s="34">
        <f>AA42/Z42</f>
        <v>1.5294117647058822</v>
      </c>
      <c r="AE42" s="34">
        <f>AB42/AA42</f>
        <v>1.0961538461538463</v>
      </c>
      <c r="AF42" s="35">
        <f>AB42/R42</f>
        <v>2.375</v>
      </c>
      <c r="AG42" s="29">
        <f>0.6*Z42+0.4*AA42</f>
        <v>41.2</v>
      </c>
      <c r="AH42" s="54">
        <v>688</v>
      </c>
      <c r="AI42" s="59">
        <f>AH42/AG42</f>
        <v>16.699029126213592</v>
      </c>
      <c r="AJ42" s="61">
        <f>AI42/AI$488</f>
        <v>3.5486159345520432</v>
      </c>
    </row>
    <row r="43" spans="1:36" ht="15" customHeight="1" x14ac:dyDescent="0.2">
      <c r="A43" s="27" t="s">
        <v>117</v>
      </c>
      <c r="B43" s="27"/>
      <c r="C43" s="28" t="s">
        <v>117</v>
      </c>
      <c r="D43" s="28">
        <v>3</v>
      </c>
      <c r="E43" s="27"/>
      <c r="F43" s="27"/>
      <c r="G43" s="27" t="s">
        <v>138</v>
      </c>
      <c r="H43" s="27">
        <v>9</v>
      </c>
      <c r="I43" s="27" t="s">
        <v>619</v>
      </c>
      <c r="J43" s="27">
        <v>9</v>
      </c>
      <c r="K43" s="27">
        <v>2</v>
      </c>
      <c r="L43" s="27">
        <v>3</v>
      </c>
      <c r="M43" s="29">
        <v>142</v>
      </c>
      <c r="N43" s="30">
        <v>148</v>
      </c>
      <c r="O43" s="30">
        <v>346</v>
      </c>
      <c r="P43" s="30">
        <v>26</v>
      </c>
      <c r="Q43" s="30">
        <v>334</v>
      </c>
      <c r="R43" s="30">
        <v>706</v>
      </c>
      <c r="S43" s="31">
        <f>R43/N43</f>
        <v>4.7702702702702702</v>
      </c>
      <c r="T43" s="32">
        <f>O43/R43</f>
        <v>0.49008498583569404</v>
      </c>
      <c r="U43" s="32">
        <f>P43/R43</f>
        <v>3.6827195467422094E-2</v>
      </c>
      <c r="V43" s="32">
        <f>Q43/R43</f>
        <v>0.47308781869688388</v>
      </c>
      <c r="W43" s="31">
        <f>P43/O43</f>
        <v>7.5144508670520235E-2</v>
      </c>
      <c r="X43" s="31">
        <f>Q43/(O43+P43)</f>
        <v>0.89784946236559138</v>
      </c>
      <c r="Y43" s="65">
        <f>R43/R$488</f>
        <v>2.0509006823747453E-3</v>
      </c>
      <c r="Z43" s="33">
        <v>754</v>
      </c>
      <c r="AA43" s="33">
        <v>880</v>
      </c>
      <c r="AB43" s="29">
        <v>1083</v>
      </c>
      <c r="AC43" s="34">
        <f>Z43/R43</f>
        <v>1.0679886685552409</v>
      </c>
      <c r="AD43" s="34">
        <f>AA43/Z43</f>
        <v>1.1671087533156499</v>
      </c>
      <c r="AE43" s="34">
        <f>AB43/AA43</f>
        <v>1.2306818181818182</v>
      </c>
      <c r="AF43" s="35">
        <f>AB43/R43</f>
        <v>1.5339943342776203</v>
      </c>
      <c r="AG43" s="29">
        <f>0.6*Z43+0.4*AA43</f>
        <v>804.4</v>
      </c>
      <c r="AH43" s="54">
        <v>3123</v>
      </c>
      <c r="AI43" s="59">
        <f>AH43/AG43</f>
        <v>3.8823968175037296</v>
      </c>
      <c r="AJ43" s="61">
        <f>AI43/AI$488</f>
        <v>0.82502612018449495</v>
      </c>
    </row>
    <row r="44" spans="1:36" ht="15" customHeight="1" x14ac:dyDescent="0.2">
      <c r="A44" s="27" t="s">
        <v>91</v>
      </c>
      <c r="B44" s="27"/>
      <c r="C44" s="27" t="s">
        <v>112</v>
      </c>
      <c r="D44" s="27">
        <v>6</v>
      </c>
      <c r="E44" s="27"/>
      <c r="F44" s="27" t="s">
        <v>481</v>
      </c>
      <c r="G44" s="27" t="s">
        <v>26</v>
      </c>
      <c r="H44" s="27">
        <v>24</v>
      </c>
      <c r="I44" s="27" t="s">
        <v>624</v>
      </c>
      <c r="J44" s="27">
        <v>4</v>
      </c>
      <c r="K44" s="27">
        <v>4</v>
      </c>
      <c r="L44" s="27">
        <v>14</v>
      </c>
      <c r="M44" s="29">
        <v>198</v>
      </c>
      <c r="N44" s="30">
        <v>198</v>
      </c>
      <c r="O44" s="30">
        <v>415</v>
      </c>
      <c r="P44" s="30">
        <v>92</v>
      </c>
      <c r="Q44" s="30">
        <v>512</v>
      </c>
      <c r="R44" s="30">
        <v>1019</v>
      </c>
      <c r="S44" s="31">
        <f>R44/N44</f>
        <v>5.1464646464646462</v>
      </c>
      <c r="T44" s="32">
        <f>O44/R44</f>
        <v>0.40726202158979391</v>
      </c>
      <c r="U44" s="32">
        <f>P44/R44</f>
        <v>9.0284592737978411E-2</v>
      </c>
      <c r="V44" s="32">
        <f>Q44/R44</f>
        <v>0.50245338567222764</v>
      </c>
      <c r="W44" s="31">
        <f>P44/O44</f>
        <v>0.22168674698795179</v>
      </c>
      <c r="X44" s="31">
        <f>Q44/(O44+P44)</f>
        <v>1.0098619329388561</v>
      </c>
      <c r="Y44" s="65">
        <f>R44/R$488</f>
        <v>2.9601526846173734E-3</v>
      </c>
      <c r="Z44" s="29">
        <v>1109</v>
      </c>
      <c r="AA44" s="29">
        <v>1227</v>
      </c>
      <c r="AB44" s="29">
        <v>1477</v>
      </c>
      <c r="AC44" s="34">
        <f>Z44/R44</f>
        <v>1.0883218842001963</v>
      </c>
      <c r="AD44" s="34">
        <f>AA44/Z44</f>
        <v>1.1064021641118125</v>
      </c>
      <c r="AE44" s="34">
        <f>AB44/AA44</f>
        <v>1.2037489812550937</v>
      </c>
      <c r="AF44" s="35">
        <f>AB44/R44</f>
        <v>1.4494602551521099</v>
      </c>
      <c r="AG44" s="29">
        <f>0.6*Z44+0.4*AA44</f>
        <v>1156.2</v>
      </c>
      <c r="AH44" s="54">
        <v>8332</v>
      </c>
      <c r="AI44" s="59">
        <f>AH44/AG44</f>
        <v>7.2063656806780827</v>
      </c>
      <c r="AJ44" s="61">
        <f>AI44/AI$488</f>
        <v>1.5313838841397165</v>
      </c>
    </row>
    <row r="45" spans="1:36" ht="15" customHeight="1" x14ac:dyDescent="0.2">
      <c r="A45" s="28" t="s">
        <v>236</v>
      </c>
      <c r="B45" s="28"/>
      <c r="C45" s="28" t="s">
        <v>118</v>
      </c>
      <c r="D45" s="28">
        <v>19</v>
      </c>
      <c r="E45" s="27"/>
      <c r="F45" s="27"/>
      <c r="G45" s="27" t="s">
        <v>69</v>
      </c>
      <c r="H45" s="27">
        <v>5</v>
      </c>
      <c r="I45" s="27" t="s">
        <v>622</v>
      </c>
      <c r="J45" s="27">
        <v>8</v>
      </c>
      <c r="K45" s="27">
        <v>2</v>
      </c>
      <c r="L45" s="27">
        <v>9</v>
      </c>
      <c r="M45" s="29">
        <v>55</v>
      </c>
      <c r="N45" s="30">
        <v>63</v>
      </c>
      <c r="O45" s="30">
        <v>42</v>
      </c>
      <c r="P45" s="30">
        <v>80</v>
      </c>
      <c r="Q45" s="30">
        <v>164</v>
      </c>
      <c r="R45" s="30">
        <v>286</v>
      </c>
      <c r="S45" s="31">
        <f>R45/N45</f>
        <v>4.5396825396825395</v>
      </c>
      <c r="T45" s="32">
        <f>O45/R45</f>
        <v>0.14685314685314685</v>
      </c>
      <c r="U45" s="32">
        <f>P45/R45</f>
        <v>0.27972027972027974</v>
      </c>
      <c r="V45" s="32">
        <f>Q45/R45</f>
        <v>0.57342657342657344</v>
      </c>
      <c r="W45" s="31">
        <f>P45/O45</f>
        <v>1.9047619047619047</v>
      </c>
      <c r="X45" s="31">
        <f>Q45/(O45+P45)</f>
        <v>1.3442622950819672</v>
      </c>
      <c r="Y45" s="65">
        <f>R45/R$488</f>
        <v>8.308181234549252E-4</v>
      </c>
      <c r="Z45" s="33">
        <v>303</v>
      </c>
      <c r="AA45" s="33">
        <v>335</v>
      </c>
      <c r="AB45" s="29">
        <v>339</v>
      </c>
      <c r="AC45" s="34">
        <f>Z45/R45</f>
        <v>1.0594405594405594</v>
      </c>
      <c r="AD45" s="34">
        <f>AA45/Z45</f>
        <v>1.1056105610561056</v>
      </c>
      <c r="AE45" s="34">
        <f>AB45/AA45</f>
        <v>1.0119402985074626</v>
      </c>
      <c r="AF45" s="35">
        <f>AB45/R45</f>
        <v>1.1853146853146854</v>
      </c>
      <c r="AG45" s="29">
        <f>0.6*Z45+0.4*AA45</f>
        <v>315.79999999999995</v>
      </c>
      <c r="AH45" s="54">
        <v>1185</v>
      </c>
      <c r="AI45" s="59">
        <f>AH45/AG45</f>
        <v>3.7523749208359725</v>
      </c>
      <c r="AJ45" s="61">
        <f>AI45/AI$488</f>
        <v>0.79739590462713683</v>
      </c>
    </row>
    <row r="46" spans="1:36" ht="15" customHeight="1" x14ac:dyDescent="0.2">
      <c r="A46" s="27" t="s">
        <v>15</v>
      </c>
      <c r="B46" s="27"/>
      <c r="C46" s="27" t="s">
        <v>111</v>
      </c>
      <c r="D46" s="28">
        <v>28</v>
      </c>
      <c r="E46" s="27" t="s">
        <v>421</v>
      </c>
      <c r="F46" s="27"/>
      <c r="G46" s="27" t="s">
        <v>426</v>
      </c>
      <c r="H46" s="27">
        <v>13</v>
      </c>
      <c r="I46" s="27" t="s">
        <v>111</v>
      </c>
      <c r="J46" s="27">
        <v>5</v>
      </c>
      <c r="K46" s="27">
        <v>5</v>
      </c>
      <c r="L46" s="27">
        <v>2</v>
      </c>
      <c r="M46" s="29">
        <v>286</v>
      </c>
      <c r="N46" s="30">
        <v>286</v>
      </c>
      <c r="O46" s="30">
        <v>326</v>
      </c>
      <c r="P46" s="30">
        <v>78</v>
      </c>
      <c r="Q46" s="30">
        <v>1027</v>
      </c>
      <c r="R46" s="30">
        <v>1431</v>
      </c>
      <c r="S46" s="31">
        <f>R46/N46</f>
        <v>5.0034965034965033</v>
      </c>
      <c r="T46" s="32">
        <f>O46/R46</f>
        <v>0.22781271837875611</v>
      </c>
      <c r="U46" s="32">
        <f>P46/R46</f>
        <v>5.450733752620545E-2</v>
      </c>
      <c r="V46" s="32">
        <f>Q46/R46</f>
        <v>0.71767994409503844</v>
      </c>
      <c r="W46" s="31">
        <f>P46/O46</f>
        <v>0.2392638036809816</v>
      </c>
      <c r="X46" s="31">
        <f>Q46/(O46+P46)</f>
        <v>2.5420792079207919</v>
      </c>
      <c r="Y46" s="65">
        <f>R46/R$488</f>
        <v>4.1569955757482444E-3</v>
      </c>
      <c r="Z46" s="29">
        <v>1385</v>
      </c>
      <c r="AA46" s="29">
        <v>1685</v>
      </c>
      <c r="AB46" s="29">
        <v>1697</v>
      </c>
      <c r="AC46" s="34">
        <f>Z46/R46</f>
        <v>0.96785464709993008</v>
      </c>
      <c r="AD46" s="34">
        <f>AA46/Z46</f>
        <v>1.2166064981949458</v>
      </c>
      <c r="AE46" s="34">
        <f>AB46/AA46</f>
        <v>1.0071216617210683</v>
      </c>
      <c r="AF46" s="35">
        <f>AB46/R46</f>
        <v>1.1858839972047519</v>
      </c>
      <c r="AG46" s="29">
        <f>0.6*Z46+0.4*AA46</f>
        <v>1505</v>
      </c>
      <c r="AH46" s="54">
        <v>6714</v>
      </c>
      <c r="AI46" s="59">
        <f>AH46/AG46</f>
        <v>4.4611295681063119</v>
      </c>
      <c r="AJ46" s="61">
        <f>AI46/AI$488</f>
        <v>0.94800933346673455</v>
      </c>
    </row>
    <row r="47" spans="1:36" ht="15" customHeight="1" x14ac:dyDescent="0.2">
      <c r="A47" s="28" t="s">
        <v>423</v>
      </c>
      <c r="B47" s="28"/>
      <c r="C47" s="28" t="s">
        <v>118</v>
      </c>
      <c r="D47" s="28">
        <v>19</v>
      </c>
      <c r="E47" s="27" t="s">
        <v>421</v>
      </c>
      <c r="F47" s="27"/>
      <c r="G47" s="27" t="s">
        <v>69</v>
      </c>
      <c r="H47" s="27">
        <v>5</v>
      </c>
      <c r="I47" s="27" t="s">
        <v>621</v>
      </c>
      <c r="J47" s="27">
        <v>7</v>
      </c>
      <c r="K47" s="27">
        <v>6</v>
      </c>
      <c r="L47" s="27">
        <v>6</v>
      </c>
      <c r="M47" s="29">
        <v>150</v>
      </c>
      <c r="N47" s="30">
        <v>181</v>
      </c>
      <c r="O47" s="30">
        <v>123</v>
      </c>
      <c r="P47" s="30">
        <v>158</v>
      </c>
      <c r="Q47" s="30">
        <v>396</v>
      </c>
      <c r="R47" s="30">
        <v>677</v>
      </c>
      <c r="S47" s="31">
        <f>R47/N47</f>
        <v>3.7403314917127073</v>
      </c>
      <c r="T47" s="32">
        <f>O47/R47</f>
        <v>0.18168389955686853</v>
      </c>
      <c r="U47" s="32">
        <f>P47/R47</f>
        <v>0.23338257016248154</v>
      </c>
      <c r="V47" s="32">
        <f>Q47/R47</f>
        <v>0.58493353028064987</v>
      </c>
      <c r="W47" s="31">
        <f>P47/O47</f>
        <v>1.2845528455284554</v>
      </c>
      <c r="X47" s="31">
        <f>Q47/(O47+P47)</f>
        <v>1.4092526690391458</v>
      </c>
      <c r="Y47" s="65">
        <f>R47/R$488</f>
        <v>1.9666568866398056E-3</v>
      </c>
      <c r="Z47" s="33">
        <v>727</v>
      </c>
      <c r="AA47" s="33">
        <v>872</v>
      </c>
      <c r="AB47" s="29">
        <v>962</v>
      </c>
      <c r="AC47" s="34">
        <f>Z47/R47</f>
        <v>1.0738552437223043</v>
      </c>
      <c r="AD47" s="34">
        <f>AA47/Z47</f>
        <v>1.1994497936726272</v>
      </c>
      <c r="AE47" s="34">
        <f>AB47/AA47</f>
        <v>1.1032110091743119</v>
      </c>
      <c r="AF47" s="35">
        <f>AB47/R47</f>
        <v>1.4209748892171343</v>
      </c>
      <c r="AG47" s="29">
        <f>0.6*Z47+0.4*AA47</f>
        <v>785</v>
      </c>
      <c r="AH47" s="54">
        <v>2165</v>
      </c>
      <c r="AI47" s="59">
        <f>AH47/AG47</f>
        <v>2.7579617834394905</v>
      </c>
      <c r="AJ47" s="61">
        <f>AI47/AI$488</f>
        <v>0.58607881078761137</v>
      </c>
    </row>
    <row r="48" spans="1:36" ht="15" customHeight="1" x14ac:dyDescent="0.2">
      <c r="A48" s="27" t="s">
        <v>493</v>
      </c>
      <c r="B48" s="27"/>
      <c r="C48" s="28" t="s">
        <v>117</v>
      </c>
      <c r="D48" s="28">
        <v>3</v>
      </c>
      <c r="E48" s="27"/>
      <c r="F48" s="27"/>
      <c r="G48" s="27" t="s">
        <v>429</v>
      </c>
      <c r="H48" s="27">
        <v>26</v>
      </c>
      <c r="I48" s="27" t="s">
        <v>619</v>
      </c>
      <c r="J48" s="27">
        <v>9</v>
      </c>
      <c r="K48" s="27">
        <v>3</v>
      </c>
      <c r="L48" s="27">
        <v>35</v>
      </c>
      <c r="M48" s="29">
        <v>12</v>
      </c>
      <c r="N48" s="30">
        <v>12</v>
      </c>
      <c r="O48" s="30">
        <v>22</v>
      </c>
      <c r="P48" s="30">
        <v>0</v>
      </c>
      <c r="Q48" s="30">
        <v>49</v>
      </c>
      <c r="R48" s="30">
        <v>71</v>
      </c>
      <c r="S48" s="31">
        <f>R48/N48</f>
        <v>5.916666666666667</v>
      </c>
      <c r="T48" s="32">
        <f>O48/R48</f>
        <v>0.30985915492957744</v>
      </c>
      <c r="U48" s="32">
        <f>P48/R48</f>
        <v>0</v>
      </c>
      <c r="V48" s="32">
        <f>Q48/R48</f>
        <v>0.6901408450704225</v>
      </c>
      <c r="W48" s="31">
        <f>P48/O48</f>
        <v>0</v>
      </c>
      <c r="X48" s="31">
        <f>Q48/(O48+P48)</f>
        <v>2.2272727272727271</v>
      </c>
      <c r="Y48" s="65">
        <f>R48/R$488</f>
        <v>2.0625205162692201E-4</v>
      </c>
      <c r="Z48" s="33">
        <v>65</v>
      </c>
      <c r="AA48" s="33">
        <v>83</v>
      </c>
      <c r="AB48" s="29">
        <v>105</v>
      </c>
      <c r="AC48" s="34">
        <f>Z48/R48</f>
        <v>0.91549295774647887</v>
      </c>
      <c r="AD48" s="34">
        <f>AA48/Z48</f>
        <v>1.2769230769230768</v>
      </c>
      <c r="AE48" s="34">
        <f>AB48/AA48</f>
        <v>1.2650602409638554</v>
      </c>
      <c r="AF48" s="35">
        <f>AB48/R48</f>
        <v>1.4788732394366197</v>
      </c>
      <c r="AG48" s="29">
        <f>0.6*Z48+0.4*AA48</f>
        <v>72.2</v>
      </c>
      <c r="AH48" s="54">
        <v>313</v>
      </c>
      <c r="AI48" s="59">
        <f>AH48/AG48</f>
        <v>4.3351800554016622</v>
      </c>
      <c r="AJ48" s="61">
        <f>AI48/AI$488</f>
        <v>0.92124451711994571</v>
      </c>
    </row>
    <row r="49" spans="1:36" ht="15" customHeight="1" x14ac:dyDescent="0.2">
      <c r="A49" s="27" t="s">
        <v>130</v>
      </c>
      <c r="B49" s="27"/>
      <c r="C49" s="28" t="s">
        <v>117</v>
      </c>
      <c r="D49" s="28">
        <v>3</v>
      </c>
      <c r="E49" s="27"/>
      <c r="F49" s="27"/>
      <c r="G49" s="27" t="s">
        <v>138</v>
      </c>
      <c r="H49" s="27">
        <v>9</v>
      </c>
      <c r="I49" s="27" t="s">
        <v>619</v>
      </c>
      <c r="J49" s="27">
        <v>9</v>
      </c>
      <c r="K49" s="27">
        <v>3</v>
      </c>
      <c r="L49" s="27">
        <v>6</v>
      </c>
      <c r="M49" s="29">
        <v>44</v>
      </c>
      <c r="N49" s="30">
        <v>63</v>
      </c>
      <c r="O49" s="30">
        <v>150</v>
      </c>
      <c r="P49" s="30">
        <v>10</v>
      </c>
      <c r="Q49" s="30">
        <v>192</v>
      </c>
      <c r="R49" s="30">
        <v>352</v>
      </c>
      <c r="S49" s="31">
        <f>R49/N49</f>
        <v>5.587301587301587</v>
      </c>
      <c r="T49" s="32">
        <f>O49/R49</f>
        <v>0.42613636363636365</v>
      </c>
      <c r="U49" s="32">
        <f>P49/R49</f>
        <v>2.8409090909090908E-2</v>
      </c>
      <c r="V49" s="32">
        <f>Q49/R49</f>
        <v>0.54545454545454541</v>
      </c>
      <c r="W49" s="31">
        <f>P49/O49</f>
        <v>6.6666666666666666E-2</v>
      </c>
      <c r="X49" s="31">
        <f>Q49/(O49+P49)</f>
        <v>1.2</v>
      </c>
      <c r="Y49" s="65">
        <f>R49/R$488</f>
        <v>1.0225453827137541E-3</v>
      </c>
      <c r="Z49" s="33">
        <v>338</v>
      </c>
      <c r="AA49" s="33">
        <v>384</v>
      </c>
      <c r="AB49" s="29">
        <v>487</v>
      </c>
      <c r="AC49" s="34">
        <f>Z49/R49</f>
        <v>0.96022727272727271</v>
      </c>
      <c r="AD49" s="34">
        <f>AA49/Z49</f>
        <v>1.136094674556213</v>
      </c>
      <c r="AE49" s="34">
        <f>AB49/AA49</f>
        <v>1.2682291666666667</v>
      </c>
      <c r="AF49" s="35">
        <f>AB49/R49</f>
        <v>1.3835227272727273</v>
      </c>
      <c r="AG49" s="29">
        <f>0.6*Z49+0.4*AA49</f>
        <v>356.4</v>
      </c>
      <c r="AH49" s="54">
        <v>1763</v>
      </c>
      <c r="AI49" s="59">
        <f>AH49/AG49</f>
        <v>4.94668911335578</v>
      </c>
      <c r="AJ49" s="61">
        <f>AI49/AI$488</f>
        <v>1.0511928375149606</v>
      </c>
    </row>
    <row r="50" spans="1:36" ht="15" customHeight="1" x14ac:dyDescent="0.2">
      <c r="A50" s="28" t="s">
        <v>200</v>
      </c>
      <c r="B50" s="28"/>
      <c r="C50" s="28" t="s">
        <v>122</v>
      </c>
      <c r="D50" s="28">
        <v>15</v>
      </c>
      <c r="E50" s="27" t="s">
        <v>421</v>
      </c>
      <c r="F50" s="27"/>
      <c r="G50" s="27" t="s">
        <v>206</v>
      </c>
      <c r="H50" s="27">
        <v>16</v>
      </c>
      <c r="I50" s="27" t="s">
        <v>621</v>
      </c>
      <c r="J50" s="27">
        <v>7</v>
      </c>
      <c r="K50" s="27">
        <v>6</v>
      </c>
      <c r="L50" s="27">
        <v>7</v>
      </c>
      <c r="M50" s="29">
        <v>247</v>
      </c>
      <c r="N50" s="30">
        <v>260</v>
      </c>
      <c r="O50" s="30">
        <v>529</v>
      </c>
      <c r="P50" s="30">
        <v>648</v>
      </c>
      <c r="Q50" s="30">
        <v>10</v>
      </c>
      <c r="R50" s="30">
        <v>1187</v>
      </c>
      <c r="S50" s="31">
        <f>R50/N50</f>
        <v>4.5653846153846152</v>
      </c>
      <c r="T50" s="32">
        <f>O50/R50</f>
        <v>0.44566133108677336</v>
      </c>
      <c r="U50" s="32">
        <f>P50/R50</f>
        <v>0.54591406908171858</v>
      </c>
      <c r="V50" s="32">
        <f>Q50/R50</f>
        <v>8.4245998315080027E-3</v>
      </c>
      <c r="W50" s="31">
        <f>P50/O50</f>
        <v>1.2249527410207939</v>
      </c>
      <c r="X50" s="31">
        <f>Q50/(O50+P50)</f>
        <v>8.4961767204757861E-3</v>
      </c>
      <c r="Y50" s="65">
        <f>R50/R$488</f>
        <v>3.4481857081853015E-3</v>
      </c>
      <c r="Z50" s="29">
        <v>1321</v>
      </c>
      <c r="AA50" s="29">
        <v>1511</v>
      </c>
      <c r="AB50" s="29">
        <v>1524</v>
      </c>
      <c r="AC50" s="34">
        <f>Z50/R50</f>
        <v>1.1128896377422073</v>
      </c>
      <c r="AD50" s="34">
        <f>AA50/Z50</f>
        <v>1.1438304314912944</v>
      </c>
      <c r="AE50" s="34">
        <f>AB50/AA50</f>
        <v>1.0086035737921906</v>
      </c>
      <c r="AF50" s="35">
        <f>AB50/R50</f>
        <v>1.2839090143218197</v>
      </c>
      <c r="AG50" s="29">
        <f>0.6*Z50+0.4*AA50</f>
        <v>1397</v>
      </c>
      <c r="AH50" s="54">
        <v>7417</v>
      </c>
      <c r="AI50" s="59">
        <f>AH50/AG50</f>
        <v>5.3092340730136005</v>
      </c>
      <c r="AJ50" s="61">
        <f>AI50/AI$488</f>
        <v>1.128235209925325</v>
      </c>
    </row>
    <row r="51" spans="1:36" ht="15" customHeight="1" x14ac:dyDescent="0.2">
      <c r="A51" s="28" t="s">
        <v>220</v>
      </c>
      <c r="B51" s="28"/>
      <c r="C51" s="28" t="s">
        <v>121</v>
      </c>
      <c r="D51" s="28">
        <v>18</v>
      </c>
      <c r="E51" s="27"/>
      <c r="F51" s="27"/>
      <c r="G51" s="27" t="s">
        <v>126</v>
      </c>
      <c r="H51" s="27">
        <v>20</v>
      </c>
      <c r="I51" s="27" t="s">
        <v>622</v>
      </c>
      <c r="J51" s="27">
        <v>8</v>
      </c>
      <c r="K51" s="27">
        <v>4</v>
      </c>
      <c r="L51" s="27">
        <v>5</v>
      </c>
      <c r="M51" s="29">
        <v>14</v>
      </c>
      <c r="N51" s="30">
        <v>20</v>
      </c>
      <c r="O51" s="30">
        <v>43</v>
      </c>
      <c r="P51" s="30">
        <v>0</v>
      </c>
      <c r="Q51" s="30">
        <v>62</v>
      </c>
      <c r="R51" s="30">
        <v>105</v>
      </c>
      <c r="S51" s="31">
        <f>R51/N51</f>
        <v>5.25</v>
      </c>
      <c r="T51" s="32">
        <f>O51/R51</f>
        <v>0.40952380952380951</v>
      </c>
      <c r="U51" s="32">
        <f>P51/R51</f>
        <v>0</v>
      </c>
      <c r="V51" s="32">
        <f>Q51/R51</f>
        <v>0.59047619047619049</v>
      </c>
      <c r="W51" s="31">
        <f>P51/O51</f>
        <v>0</v>
      </c>
      <c r="X51" s="31">
        <f>Q51/(O51+P51)</f>
        <v>1.441860465116279</v>
      </c>
      <c r="Y51" s="65">
        <f>R51/R$488</f>
        <v>3.0502063972995508E-4</v>
      </c>
      <c r="Z51" s="33">
        <v>133</v>
      </c>
      <c r="AA51" s="33">
        <v>115</v>
      </c>
      <c r="AB51" s="29">
        <v>162</v>
      </c>
      <c r="AC51" s="34">
        <f>Z51/R51</f>
        <v>1.2666666666666666</v>
      </c>
      <c r="AD51" s="34">
        <f>AA51/Z51</f>
        <v>0.86466165413533835</v>
      </c>
      <c r="AE51" s="34">
        <f>AB51/AA51</f>
        <v>1.4086956521739131</v>
      </c>
      <c r="AF51" s="35">
        <f>AB51/R51</f>
        <v>1.5428571428571429</v>
      </c>
      <c r="AG51" s="29">
        <f>0.6*Z51+0.4*AA51</f>
        <v>125.8</v>
      </c>
      <c r="AH51" s="54">
        <v>1404</v>
      </c>
      <c r="AI51" s="59">
        <f>AH51/AG51</f>
        <v>11.160572337042925</v>
      </c>
      <c r="AJ51" s="61">
        <f>AI51/AI$488</f>
        <v>2.3716699057540582</v>
      </c>
    </row>
    <row r="52" spans="1:36" ht="15" customHeight="1" x14ac:dyDescent="0.2">
      <c r="A52" s="27" t="s">
        <v>131</v>
      </c>
      <c r="B52" s="27"/>
      <c r="C52" s="28" t="s">
        <v>117</v>
      </c>
      <c r="D52" s="28">
        <v>3</v>
      </c>
      <c r="E52" s="27"/>
      <c r="F52" s="27"/>
      <c r="G52" s="27" t="s">
        <v>138</v>
      </c>
      <c r="H52" s="27">
        <v>9</v>
      </c>
      <c r="I52" s="27" t="s">
        <v>619</v>
      </c>
      <c r="J52" s="27">
        <v>9</v>
      </c>
      <c r="K52" s="27">
        <v>3</v>
      </c>
      <c r="L52" s="27">
        <v>5</v>
      </c>
      <c r="M52" s="29">
        <v>94</v>
      </c>
      <c r="N52" s="30">
        <v>124</v>
      </c>
      <c r="O52" s="30">
        <v>322</v>
      </c>
      <c r="P52" s="30">
        <v>30</v>
      </c>
      <c r="Q52" s="30">
        <v>282</v>
      </c>
      <c r="R52" s="30">
        <v>634</v>
      </c>
      <c r="S52" s="31">
        <f>R52/N52</f>
        <v>5.112903225806452</v>
      </c>
      <c r="T52" s="32">
        <f>O52/R52</f>
        <v>0.50788643533123023</v>
      </c>
      <c r="U52" s="32">
        <f>P52/R52</f>
        <v>4.7318611987381701E-2</v>
      </c>
      <c r="V52" s="32">
        <f>Q52/R52</f>
        <v>0.44479495268138802</v>
      </c>
      <c r="W52" s="31">
        <f>P52/O52</f>
        <v>9.3167701863354033E-2</v>
      </c>
      <c r="X52" s="31">
        <f>Q52/(O52+P52)</f>
        <v>0.80113636363636365</v>
      </c>
      <c r="Y52" s="65">
        <f>R52/R$488</f>
        <v>1.8417436722742049E-3</v>
      </c>
      <c r="Z52" s="33">
        <v>763</v>
      </c>
      <c r="AA52" s="33">
        <v>978</v>
      </c>
      <c r="AB52" s="29">
        <v>1027</v>
      </c>
      <c r="AC52" s="34">
        <f>Z52/R52</f>
        <v>1.2034700315457414</v>
      </c>
      <c r="AD52" s="34">
        <f>AA52/Z52</f>
        <v>1.2817824377457405</v>
      </c>
      <c r="AE52" s="34">
        <f>AB52/AA52</f>
        <v>1.0501022494887526</v>
      </c>
      <c r="AF52" s="35">
        <f>AB52/R52</f>
        <v>1.6198738170347002</v>
      </c>
      <c r="AG52" s="29">
        <f>0.6*Z52+0.4*AA52</f>
        <v>849</v>
      </c>
      <c r="AH52" s="54">
        <v>3205</v>
      </c>
      <c r="AI52" s="59">
        <f>AH52/AG52</f>
        <v>3.7750294464075385</v>
      </c>
      <c r="AJ52" s="61">
        <f>AI52/AI$488</f>
        <v>0.80221008932166971</v>
      </c>
    </row>
    <row r="53" spans="1:36" ht="15" customHeight="1" x14ac:dyDescent="0.2">
      <c r="A53" s="27" t="s">
        <v>93</v>
      </c>
      <c r="B53" s="27"/>
      <c r="C53" s="27" t="s">
        <v>116</v>
      </c>
      <c r="D53" s="27">
        <v>32</v>
      </c>
      <c r="E53" s="27"/>
      <c r="F53" s="27"/>
      <c r="G53" s="27" t="s">
        <v>201</v>
      </c>
      <c r="H53" s="27">
        <v>3</v>
      </c>
      <c r="I53" s="27" t="s">
        <v>618</v>
      </c>
      <c r="J53" s="27">
        <v>6</v>
      </c>
      <c r="K53" s="27">
        <v>6</v>
      </c>
      <c r="L53" s="27">
        <v>5</v>
      </c>
      <c r="M53" s="29">
        <v>44</v>
      </c>
      <c r="N53" s="30">
        <v>44</v>
      </c>
      <c r="O53" s="30">
        <v>75</v>
      </c>
      <c r="P53" s="30">
        <v>14</v>
      </c>
      <c r="Q53" s="30">
        <v>184</v>
      </c>
      <c r="R53" s="30">
        <v>273</v>
      </c>
      <c r="S53" s="31">
        <f>R53/N53</f>
        <v>6.2045454545454541</v>
      </c>
      <c r="T53" s="32">
        <f>O53/R53</f>
        <v>0.27472527472527475</v>
      </c>
      <c r="U53" s="32">
        <f>P53/R53</f>
        <v>5.128205128205128E-2</v>
      </c>
      <c r="V53" s="32">
        <f>Q53/R53</f>
        <v>0.67399267399267404</v>
      </c>
      <c r="W53" s="31">
        <f>P53/O53</f>
        <v>0.18666666666666668</v>
      </c>
      <c r="X53" s="31">
        <f>Q53/(O53+P53)</f>
        <v>2.0674157303370788</v>
      </c>
      <c r="Y53" s="65">
        <f>R53/R$488</f>
        <v>7.9305366329788314E-4</v>
      </c>
      <c r="Z53" s="33">
        <v>273</v>
      </c>
      <c r="AA53" s="33">
        <v>303</v>
      </c>
      <c r="AB53" s="29">
        <v>374</v>
      </c>
      <c r="AC53" s="34">
        <f>Z53/R53</f>
        <v>1</v>
      </c>
      <c r="AD53" s="34">
        <f>AA53/Z53</f>
        <v>1.1098901098901099</v>
      </c>
      <c r="AE53" s="34">
        <f>AB53/AA53</f>
        <v>1.2343234323432344</v>
      </c>
      <c r="AF53" s="35">
        <f>AB53/R53</f>
        <v>1.36996336996337</v>
      </c>
      <c r="AG53" s="29">
        <f>0.6*Z53+0.4*AA53</f>
        <v>285</v>
      </c>
      <c r="AH53" s="66">
        <v>3371</v>
      </c>
      <c r="AI53" s="59">
        <f>AH53/AG53</f>
        <v>11.828070175438597</v>
      </c>
      <c r="AJ53" s="61">
        <f>AI53/AI$488</f>
        <v>2.5135160842179083</v>
      </c>
    </row>
    <row r="54" spans="1:36" ht="15" customHeight="1" x14ac:dyDescent="0.2">
      <c r="A54" s="28" t="s">
        <v>159</v>
      </c>
      <c r="B54" s="28">
        <v>4</v>
      </c>
      <c r="C54" s="28" t="s">
        <v>107</v>
      </c>
      <c r="D54" s="28">
        <v>7</v>
      </c>
      <c r="E54" s="27"/>
      <c r="F54" s="27"/>
      <c r="G54" s="27" t="s">
        <v>172</v>
      </c>
      <c r="H54" s="27">
        <v>1</v>
      </c>
      <c r="I54" s="27" t="s">
        <v>618</v>
      </c>
      <c r="J54" s="27">
        <v>6</v>
      </c>
      <c r="K54" s="27">
        <v>7</v>
      </c>
      <c r="L54" s="27">
        <v>4</v>
      </c>
      <c r="M54" s="29">
        <v>116</v>
      </c>
      <c r="N54" s="30">
        <v>119</v>
      </c>
      <c r="O54" s="30">
        <v>370</v>
      </c>
      <c r="P54" s="30">
        <v>40</v>
      </c>
      <c r="Q54" s="30">
        <v>193</v>
      </c>
      <c r="R54" s="30">
        <v>603</v>
      </c>
      <c r="S54" s="31">
        <f>R54/N54</f>
        <v>5.0672268907563023</v>
      </c>
      <c r="T54" s="32">
        <f>O54/R54</f>
        <v>0.61359867330016582</v>
      </c>
      <c r="U54" s="32">
        <f>P54/R54</f>
        <v>6.633499170812604E-2</v>
      </c>
      <c r="V54" s="32">
        <f>Q54/R54</f>
        <v>0.32006633499170811</v>
      </c>
      <c r="W54" s="31">
        <f>P54/O54</f>
        <v>0.10810810810810811</v>
      </c>
      <c r="X54" s="31">
        <f>Q54/(O54+P54)</f>
        <v>0.47073170731707314</v>
      </c>
      <c r="Y54" s="65">
        <f>R54/R$488</f>
        <v>1.7516899595920277E-3</v>
      </c>
      <c r="Z54" s="33">
        <v>595</v>
      </c>
      <c r="AA54" s="33">
        <v>773</v>
      </c>
      <c r="AB54" s="29">
        <v>829</v>
      </c>
      <c r="AC54" s="34">
        <f>Z54/R54</f>
        <v>0.98673300165837474</v>
      </c>
      <c r="AD54" s="34">
        <f>AA54/Z54</f>
        <v>1.2991596638655463</v>
      </c>
      <c r="AE54" s="34">
        <f>AB54/AA54</f>
        <v>1.072445019404916</v>
      </c>
      <c r="AF54" s="35">
        <f>AB54/R54</f>
        <v>1.3747927031509122</v>
      </c>
      <c r="AG54" s="29">
        <f>0.6*Z54+0.4*AA54</f>
        <v>666.2</v>
      </c>
      <c r="AH54" s="54">
        <v>3629</v>
      </c>
      <c r="AI54" s="59">
        <f>AH54/AG54</f>
        <v>5.4473131191834279</v>
      </c>
      <c r="AJ54" s="61">
        <f>AI54/AI$488</f>
        <v>1.157577604609626</v>
      </c>
    </row>
    <row r="55" spans="1:36" ht="15" customHeight="1" x14ac:dyDescent="0.2">
      <c r="A55" s="28" t="s">
        <v>221</v>
      </c>
      <c r="B55" s="28"/>
      <c r="C55" s="28" t="s">
        <v>121</v>
      </c>
      <c r="D55" s="28">
        <v>18</v>
      </c>
      <c r="E55" s="27"/>
      <c r="F55" s="27"/>
      <c r="G55" s="27" t="s">
        <v>4</v>
      </c>
      <c r="H55" s="27">
        <v>14</v>
      </c>
      <c r="I55" s="27" t="s">
        <v>622</v>
      </c>
      <c r="J55" s="27">
        <v>8</v>
      </c>
      <c r="K55" s="27">
        <v>3</v>
      </c>
      <c r="L55" s="27">
        <v>12</v>
      </c>
      <c r="M55" s="29">
        <v>84</v>
      </c>
      <c r="N55" s="30">
        <v>96</v>
      </c>
      <c r="O55" s="30">
        <v>120</v>
      </c>
      <c r="P55" s="30">
        <v>12</v>
      </c>
      <c r="Q55" s="30">
        <v>416</v>
      </c>
      <c r="R55" s="30">
        <v>548</v>
      </c>
      <c r="S55" s="31">
        <f>R55/N55</f>
        <v>5.708333333333333</v>
      </c>
      <c r="T55" s="32">
        <f>O55/R55</f>
        <v>0.21897810218978103</v>
      </c>
      <c r="U55" s="32">
        <f>P55/R55</f>
        <v>2.1897810218978103E-2</v>
      </c>
      <c r="V55" s="32">
        <f>Q55/R55</f>
        <v>0.75912408759124084</v>
      </c>
      <c r="W55" s="31">
        <f>P55/O55</f>
        <v>0.1</v>
      </c>
      <c r="X55" s="31">
        <f>Q55/(O55+P55)</f>
        <v>3.1515151515151514</v>
      </c>
      <c r="Y55" s="65">
        <f>R55/R$488</f>
        <v>1.5919172435430035E-3</v>
      </c>
      <c r="Z55" s="33">
        <v>573</v>
      </c>
      <c r="AA55" s="33">
        <v>705</v>
      </c>
      <c r="AB55" s="29">
        <v>787</v>
      </c>
      <c r="AC55" s="34">
        <f>Z55/R55</f>
        <v>1.0456204379562044</v>
      </c>
      <c r="AD55" s="34">
        <f>AA55/Z55</f>
        <v>1.2303664921465969</v>
      </c>
      <c r="AE55" s="34">
        <f>AB55/AA55</f>
        <v>1.1163120567375886</v>
      </c>
      <c r="AF55" s="35">
        <f>AB55/R55</f>
        <v>1.4361313868613139</v>
      </c>
      <c r="AG55" s="29">
        <f>0.6*Z55+0.4*AA55</f>
        <v>625.79999999999995</v>
      </c>
      <c r="AH55" s="54">
        <v>2133</v>
      </c>
      <c r="AI55" s="59">
        <f>AH55/AG55</f>
        <v>3.4084372003835095</v>
      </c>
      <c r="AJ55" s="61">
        <f>AI55/AI$488</f>
        <v>0.72430765104865724</v>
      </c>
    </row>
    <row r="56" spans="1:36" ht="15" customHeight="1" x14ac:dyDescent="0.2">
      <c r="A56" s="27" t="s">
        <v>353</v>
      </c>
      <c r="B56" s="27"/>
      <c r="C56" s="27" t="s">
        <v>325</v>
      </c>
      <c r="D56" s="27">
        <v>4</v>
      </c>
      <c r="E56" s="27"/>
      <c r="F56" s="27"/>
      <c r="G56" s="27" t="s">
        <v>331</v>
      </c>
      <c r="H56" s="27">
        <v>17</v>
      </c>
      <c r="I56" s="27" t="s">
        <v>620</v>
      </c>
      <c r="J56" s="27">
        <v>10</v>
      </c>
      <c r="K56" s="27">
        <v>1</v>
      </c>
      <c r="L56" s="27">
        <v>11</v>
      </c>
      <c r="M56" s="29">
        <v>67</v>
      </c>
      <c r="N56" s="30">
        <v>79</v>
      </c>
      <c r="O56" s="30">
        <v>373</v>
      </c>
      <c r="P56" s="30">
        <v>15</v>
      </c>
      <c r="Q56" s="30">
        <v>18</v>
      </c>
      <c r="R56" s="30">
        <v>406</v>
      </c>
      <c r="S56" s="31">
        <f>R56/N56</f>
        <v>5.1392405063291138</v>
      </c>
      <c r="T56" s="32">
        <f>O56/R56</f>
        <v>0.91871921182266014</v>
      </c>
      <c r="U56" s="32">
        <f>P56/R56</f>
        <v>3.6945812807881777E-2</v>
      </c>
      <c r="V56" s="32">
        <f>Q56/R56</f>
        <v>4.4334975369458129E-2</v>
      </c>
      <c r="W56" s="31">
        <f>P56/O56</f>
        <v>4.0214477211796246E-2</v>
      </c>
      <c r="X56" s="31">
        <f>Q56/(O56+P56)</f>
        <v>4.6391752577319589E-2</v>
      </c>
      <c r="Y56" s="65">
        <f>R56/R$488</f>
        <v>1.1794131402891597E-3</v>
      </c>
      <c r="Z56" s="33">
        <v>434</v>
      </c>
      <c r="AA56" s="33">
        <v>490</v>
      </c>
      <c r="AB56" s="29">
        <v>534</v>
      </c>
      <c r="AC56" s="34">
        <f>Z56/R56</f>
        <v>1.0689655172413792</v>
      </c>
      <c r="AD56" s="34">
        <f>AA56/Z56</f>
        <v>1.1290322580645162</v>
      </c>
      <c r="AE56" s="34">
        <f>AB56/AA56</f>
        <v>1.0897959183673469</v>
      </c>
      <c r="AF56" s="35">
        <f>AB56/R56</f>
        <v>1.3152709359605912</v>
      </c>
      <c r="AG56" s="29">
        <f>0.6*Z56+0.4*AA56</f>
        <v>456.4</v>
      </c>
      <c r="AH56" s="54">
        <v>3377</v>
      </c>
      <c r="AI56" s="59">
        <f>AH56/AG56</f>
        <v>7.3992112182296239</v>
      </c>
      <c r="AJ56" s="61">
        <f>AI56/AI$488</f>
        <v>1.5723643951796311</v>
      </c>
    </row>
    <row r="57" spans="1:36" ht="15" customHeight="1" x14ac:dyDescent="0.2">
      <c r="A57" s="27" t="s">
        <v>325</v>
      </c>
      <c r="B57" s="27"/>
      <c r="C57" s="27" t="s">
        <v>325</v>
      </c>
      <c r="D57" s="27">
        <v>4</v>
      </c>
      <c r="E57" s="27"/>
      <c r="F57" s="27" t="s">
        <v>481</v>
      </c>
      <c r="G57" s="27" t="s">
        <v>331</v>
      </c>
      <c r="H57" s="27">
        <v>17</v>
      </c>
      <c r="I57" s="27" t="s">
        <v>620</v>
      </c>
      <c r="J57" s="27">
        <v>10</v>
      </c>
      <c r="K57" s="27">
        <v>1</v>
      </c>
      <c r="L57" s="27">
        <v>15</v>
      </c>
      <c r="M57" s="29">
        <v>255</v>
      </c>
      <c r="N57" s="30">
        <v>265</v>
      </c>
      <c r="O57" s="30">
        <v>323</v>
      </c>
      <c r="P57" s="30">
        <v>60</v>
      </c>
      <c r="Q57" s="30">
        <v>913</v>
      </c>
      <c r="R57" s="30">
        <v>1296</v>
      </c>
      <c r="S57" s="31">
        <f>R57/N57</f>
        <v>4.8905660377358489</v>
      </c>
      <c r="T57" s="32">
        <f>O57/R57</f>
        <v>0.24922839506172839</v>
      </c>
      <c r="U57" s="32">
        <f>P57/R57</f>
        <v>4.6296296296296294E-2</v>
      </c>
      <c r="V57" s="32">
        <f>Q57/R57</f>
        <v>0.70447530864197527</v>
      </c>
      <c r="W57" s="31">
        <f>P57/O57</f>
        <v>0.18575851393188855</v>
      </c>
      <c r="X57" s="31">
        <f>Q57/(O57+P57)</f>
        <v>2.3838120104438643</v>
      </c>
      <c r="Y57" s="65">
        <f>R57/R$488</f>
        <v>3.7648261818097311E-3</v>
      </c>
      <c r="Z57" s="29">
        <v>1390</v>
      </c>
      <c r="AA57" s="29">
        <v>1699</v>
      </c>
      <c r="AB57" s="29">
        <v>2047</v>
      </c>
      <c r="AC57" s="34">
        <f>Z57/R57</f>
        <v>1.0725308641975309</v>
      </c>
      <c r="AD57" s="34">
        <f>AA57/Z57</f>
        <v>1.2223021582733813</v>
      </c>
      <c r="AE57" s="34">
        <f>AB57/AA57</f>
        <v>1.2048263684520306</v>
      </c>
      <c r="AF57" s="35">
        <f>AB57/R57</f>
        <v>1.5794753086419753</v>
      </c>
      <c r="AG57" s="29">
        <f>0.6*Z57+0.4*AA57</f>
        <v>1513.6</v>
      </c>
      <c r="AH57" s="54">
        <v>7455</v>
      </c>
      <c r="AI57" s="59">
        <f>AH57/AG57</f>
        <v>4.9253435517970408</v>
      </c>
      <c r="AJ57" s="61">
        <f>AI57/AI$488</f>
        <v>1.0466568133361418</v>
      </c>
    </row>
    <row r="58" spans="1:36" ht="15" customHeight="1" x14ac:dyDescent="0.2">
      <c r="A58" s="27" t="s">
        <v>394</v>
      </c>
      <c r="B58" s="27"/>
      <c r="C58" s="27" t="s">
        <v>331</v>
      </c>
      <c r="D58" s="27">
        <v>24</v>
      </c>
      <c r="E58" s="27"/>
      <c r="F58" s="27"/>
      <c r="G58" s="27" t="s">
        <v>331</v>
      </c>
      <c r="H58" s="27">
        <v>17</v>
      </c>
      <c r="I58" s="27" t="s">
        <v>620</v>
      </c>
      <c r="J58" s="27">
        <v>10</v>
      </c>
      <c r="K58" s="27">
        <v>1</v>
      </c>
      <c r="L58" s="27">
        <v>12</v>
      </c>
      <c r="M58" s="29">
        <v>40</v>
      </c>
      <c r="N58" s="40">
        <v>51</v>
      </c>
      <c r="O58" s="30">
        <v>124</v>
      </c>
      <c r="P58" s="30">
        <v>79</v>
      </c>
      <c r="Q58" s="30">
        <v>57</v>
      </c>
      <c r="R58" s="30">
        <v>260</v>
      </c>
      <c r="S58" s="31">
        <f>R58/N58</f>
        <v>5.0980392156862742</v>
      </c>
      <c r="T58" s="32">
        <f>O58/R58</f>
        <v>0.47692307692307695</v>
      </c>
      <c r="U58" s="32">
        <f>P58/R58</f>
        <v>0.30384615384615382</v>
      </c>
      <c r="V58" s="32">
        <f>Q58/R58</f>
        <v>0.21923076923076923</v>
      </c>
      <c r="W58" s="31">
        <f>P58/O58</f>
        <v>0.63709677419354838</v>
      </c>
      <c r="X58" s="31">
        <f>Q58/(O58+P58)</f>
        <v>0.28078817733990147</v>
      </c>
      <c r="Y58" s="65">
        <f>R58/R$488</f>
        <v>7.5528920314084109E-4</v>
      </c>
      <c r="Z58" s="33">
        <v>236</v>
      </c>
      <c r="AA58" s="33">
        <v>275</v>
      </c>
      <c r="AB58" s="29">
        <v>259</v>
      </c>
      <c r="AC58" s="34">
        <f>Z58/R58</f>
        <v>0.90769230769230769</v>
      </c>
      <c r="AD58" s="34">
        <f>AA58/Z58</f>
        <v>1.1652542372881356</v>
      </c>
      <c r="AE58" s="34">
        <f>AB58/AA58</f>
        <v>0.94181818181818178</v>
      </c>
      <c r="AF58" s="35">
        <f>AB58/R58</f>
        <v>0.99615384615384617</v>
      </c>
      <c r="AG58" s="29">
        <f>0.6*Z58+0.4*AA58</f>
        <v>251.6</v>
      </c>
      <c r="AH58" s="54">
        <v>717</v>
      </c>
      <c r="AI58" s="59">
        <f>AH58/AG58</f>
        <v>2.8497615262321143</v>
      </c>
      <c r="AJ58" s="61">
        <f>AI58/AI$488</f>
        <v>0.60558665328549133</v>
      </c>
    </row>
    <row r="59" spans="1:36" ht="15" customHeight="1" x14ac:dyDescent="0.2">
      <c r="A59" s="28" t="s">
        <v>288</v>
      </c>
      <c r="B59" s="28"/>
      <c r="C59" s="28" t="s">
        <v>126</v>
      </c>
      <c r="D59" s="28">
        <v>27</v>
      </c>
      <c r="E59" s="27"/>
      <c r="F59" s="27"/>
      <c r="G59" s="27" t="s">
        <v>126</v>
      </c>
      <c r="H59" s="27">
        <v>20</v>
      </c>
      <c r="I59" s="27" t="s">
        <v>622</v>
      </c>
      <c r="J59" s="27">
        <v>8</v>
      </c>
      <c r="K59" s="27">
        <v>4</v>
      </c>
      <c r="L59" s="27">
        <v>6</v>
      </c>
      <c r="M59" s="29">
        <v>17</v>
      </c>
      <c r="N59" s="30">
        <v>17</v>
      </c>
      <c r="O59" s="30">
        <v>61</v>
      </c>
      <c r="P59" s="30">
        <v>9</v>
      </c>
      <c r="Q59" s="30">
        <v>38</v>
      </c>
      <c r="R59" s="30">
        <v>108</v>
      </c>
      <c r="S59" s="31">
        <f>R59/N59</f>
        <v>6.3529411764705879</v>
      </c>
      <c r="T59" s="32">
        <f>O59/R59</f>
        <v>0.56481481481481477</v>
      </c>
      <c r="U59" s="32">
        <f>P59/R59</f>
        <v>8.3333333333333329E-2</v>
      </c>
      <c r="V59" s="32">
        <f>Q59/R59</f>
        <v>0.35185185185185186</v>
      </c>
      <c r="W59" s="31">
        <f>P59/O59</f>
        <v>0.14754098360655737</v>
      </c>
      <c r="X59" s="31">
        <f>Q59/(O59+P59)</f>
        <v>0.54285714285714282</v>
      </c>
      <c r="Y59" s="65">
        <f>R59/R$488</f>
        <v>3.1373551515081094E-4</v>
      </c>
      <c r="Z59" s="33">
        <v>104</v>
      </c>
      <c r="AA59" s="33">
        <v>151</v>
      </c>
      <c r="AB59" s="29">
        <v>147</v>
      </c>
      <c r="AC59" s="34">
        <f>Z59/R59</f>
        <v>0.96296296296296291</v>
      </c>
      <c r="AD59" s="34">
        <f>AA59/Z59</f>
        <v>1.4519230769230769</v>
      </c>
      <c r="AE59" s="34">
        <f>AB59/AA59</f>
        <v>0.97350993377483441</v>
      </c>
      <c r="AF59" s="35">
        <f>AB59/R59</f>
        <v>1.3611111111111112</v>
      </c>
      <c r="AG59" s="29">
        <f>0.6*Z59+0.4*AA59</f>
        <v>122.80000000000001</v>
      </c>
      <c r="AH59" s="54">
        <v>887</v>
      </c>
      <c r="AI59" s="59">
        <f>AH59/AG59</f>
        <v>7.2231270358306183</v>
      </c>
      <c r="AJ59" s="61">
        <f>AI59/AI$488</f>
        <v>1.5349457446245038</v>
      </c>
    </row>
    <row r="60" spans="1:36" ht="15" customHeight="1" x14ac:dyDescent="0.2">
      <c r="A60" s="28" t="s">
        <v>222</v>
      </c>
      <c r="B60" s="28"/>
      <c r="C60" s="28" t="s">
        <v>121</v>
      </c>
      <c r="D60" s="28">
        <v>18</v>
      </c>
      <c r="E60" s="27"/>
      <c r="F60" s="27"/>
      <c r="G60" s="27" t="s">
        <v>126</v>
      </c>
      <c r="H60" s="27">
        <v>20</v>
      </c>
      <c r="I60" s="27" t="s">
        <v>622</v>
      </c>
      <c r="J60" s="27">
        <v>8</v>
      </c>
      <c r="K60" s="27">
        <v>3</v>
      </c>
      <c r="L60" s="27">
        <v>10</v>
      </c>
      <c r="M60" s="29">
        <v>91</v>
      </c>
      <c r="N60" s="30">
        <v>98</v>
      </c>
      <c r="O60" s="30">
        <v>111</v>
      </c>
      <c r="P60" s="30">
        <v>16</v>
      </c>
      <c r="Q60" s="30">
        <v>454</v>
      </c>
      <c r="R60" s="30">
        <v>581</v>
      </c>
      <c r="S60" s="31">
        <f>R60/N60</f>
        <v>5.9285714285714288</v>
      </c>
      <c r="T60" s="32">
        <f>O60/R60</f>
        <v>0.19104991394148021</v>
      </c>
      <c r="U60" s="32">
        <f>P60/R60</f>
        <v>2.7538726333907058E-2</v>
      </c>
      <c r="V60" s="32">
        <f>Q60/R60</f>
        <v>0.78141135972461273</v>
      </c>
      <c r="W60" s="31">
        <f>P60/O60</f>
        <v>0.14414414414414414</v>
      </c>
      <c r="X60" s="31">
        <f>Q60/(O60+P60)</f>
        <v>3.5748031496062991</v>
      </c>
      <c r="Y60" s="65">
        <f>R60/R$488</f>
        <v>1.6877808731724181E-3</v>
      </c>
      <c r="Z60" s="33">
        <v>664</v>
      </c>
      <c r="AA60" s="33">
        <v>787</v>
      </c>
      <c r="AB60" s="29">
        <v>907</v>
      </c>
      <c r="AC60" s="34">
        <f>Z60/R60</f>
        <v>1.1428571428571428</v>
      </c>
      <c r="AD60" s="34">
        <f>AA60/Z60</f>
        <v>1.1852409638554218</v>
      </c>
      <c r="AE60" s="34">
        <f>AB60/AA60</f>
        <v>1.1524777636594663</v>
      </c>
      <c r="AF60" s="35">
        <f>AB60/R60</f>
        <v>1.5611015490533562</v>
      </c>
      <c r="AG60" s="29">
        <f>0.6*Z60+0.4*AA60</f>
        <v>713.2</v>
      </c>
      <c r="AH60" s="54">
        <v>3804</v>
      </c>
      <c r="AI60" s="59">
        <f>AH60/AG60</f>
        <v>5.3337072349971955</v>
      </c>
      <c r="AJ60" s="61">
        <f>AI60/AI$488</f>
        <v>1.1334358627254049</v>
      </c>
    </row>
    <row r="61" spans="1:36" ht="15" customHeight="1" x14ac:dyDescent="0.2">
      <c r="A61" s="27" t="s">
        <v>52</v>
      </c>
      <c r="B61" s="27"/>
      <c r="C61" s="27" t="s">
        <v>116</v>
      </c>
      <c r="D61" s="27">
        <v>32</v>
      </c>
      <c r="E61" s="27"/>
      <c r="F61" s="27"/>
      <c r="G61" s="27" t="s">
        <v>50</v>
      </c>
      <c r="H61" s="27">
        <v>7</v>
      </c>
      <c r="I61" s="27" t="s">
        <v>111</v>
      </c>
      <c r="J61" s="27">
        <v>5</v>
      </c>
      <c r="K61" s="27">
        <v>2</v>
      </c>
      <c r="L61" s="27">
        <v>15</v>
      </c>
      <c r="M61" s="29">
        <v>70</v>
      </c>
      <c r="N61" s="30">
        <v>80</v>
      </c>
      <c r="O61" s="30">
        <v>144</v>
      </c>
      <c r="P61" s="30">
        <v>23</v>
      </c>
      <c r="Q61" s="30">
        <v>277</v>
      </c>
      <c r="R61" s="30">
        <v>444</v>
      </c>
      <c r="S61" s="31">
        <f>R61/N61</f>
        <v>5.55</v>
      </c>
      <c r="T61" s="32">
        <f>O61/R61</f>
        <v>0.32432432432432434</v>
      </c>
      <c r="U61" s="32">
        <f>P61/R61</f>
        <v>5.18018018018018E-2</v>
      </c>
      <c r="V61" s="32">
        <f>Q61/R61</f>
        <v>0.62387387387387383</v>
      </c>
      <c r="W61" s="31">
        <f>P61/O61</f>
        <v>0.15972222222222221</v>
      </c>
      <c r="X61" s="31">
        <f>Q61/(O61+P61)</f>
        <v>1.658682634730539</v>
      </c>
      <c r="Y61" s="65">
        <f>R61/R$488</f>
        <v>1.289801562286667E-3</v>
      </c>
      <c r="Z61" s="33">
        <v>416</v>
      </c>
      <c r="AA61" s="33">
        <v>491</v>
      </c>
      <c r="AB61" s="29">
        <v>529</v>
      </c>
      <c r="AC61" s="34">
        <f>Z61/R61</f>
        <v>0.93693693693693691</v>
      </c>
      <c r="AD61" s="34">
        <f>AA61/Z61</f>
        <v>1.1802884615384615</v>
      </c>
      <c r="AE61" s="34">
        <f>AB61/AA61</f>
        <v>1.0773930753564154</v>
      </c>
      <c r="AF61" s="35">
        <f>AB61/R61</f>
        <v>1.1914414414414414</v>
      </c>
      <c r="AG61" s="29">
        <f>0.6*Z61+0.4*AA61</f>
        <v>446</v>
      </c>
      <c r="AH61" s="66">
        <v>2193</v>
      </c>
      <c r="AI61" s="59">
        <f>AH61/AG61</f>
        <v>4.9170403587443943</v>
      </c>
      <c r="AJ61" s="61">
        <f>AI61/AI$488</f>
        <v>1.04489234889024</v>
      </c>
    </row>
    <row r="62" spans="1:36" ht="15" customHeight="1" x14ac:dyDescent="0.2">
      <c r="A62" s="28" t="s">
        <v>558</v>
      </c>
      <c r="B62" s="28"/>
      <c r="C62" s="28" t="s">
        <v>117</v>
      </c>
      <c r="D62" s="28">
        <v>3</v>
      </c>
      <c r="E62" s="27"/>
      <c r="F62" s="27"/>
      <c r="G62" s="27" t="s">
        <v>138</v>
      </c>
      <c r="H62" s="27">
        <v>9</v>
      </c>
      <c r="I62" s="27" t="s">
        <v>619</v>
      </c>
      <c r="J62" s="27">
        <v>9</v>
      </c>
      <c r="K62" s="27">
        <v>3</v>
      </c>
      <c r="L62" s="27">
        <v>7</v>
      </c>
      <c r="M62" s="38">
        <v>23</v>
      </c>
      <c r="N62" s="30">
        <v>23</v>
      </c>
      <c r="O62" s="30">
        <v>62</v>
      </c>
      <c r="P62" s="30">
        <v>2</v>
      </c>
      <c r="Q62" s="30">
        <v>76</v>
      </c>
      <c r="R62" s="30">
        <v>140</v>
      </c>
      <c r="S62" s="31">
        <f>R62/N62</f>
        <v>6.0869565217391308</v>
      </c>
      <c r="T62" s="32">
        <f>O62/R62</f>
        <v>0.44285714285714284</v>
      </c>
      <c r="U62" s="32">
        <f>P62/R62</f>
        <v>1.4285714285714285E-2</v>
      </c>
      <c r="V62" s="32">
        <f>Q62/R62</f>
        <v>0.54285714285714282</v>
      </c>
      <c r="W62" s="31">
        <f>P62/O62</f>
        <v>3.2258064516129031E-2</v>
      </c>
      <c r="X62" s="31">
        <f>Q62/(O62+P62)</f>
        <v>1.1875</v>
      </c>
      <c r="Y62" s="65">
        <f>R62/R$488</f>
        <v>4.0669418630660673E-4</v>
      </c>
      <c r="Z62" s="33">
        <v>143</v>
      </c>
      <c r="AA62" s="33">
        <v>198</v>
      </c>
      <c r="AB62" s="29">
        <v>217</v>
      </c>
      <c r="AC62" s="34">
        <f>Z62/R62</f>
        <v>1.0214285714285714</v>
      </c>
      <c r="AD62" s="34">
        <f>AA62/Z62</f>
        <v>1.3846153846153846</v>
      </c>
      <c r="AE62" s="34">
        <f>AB62/AA62</f>
        <v>1.095959595959596</v>
      </c>
      <c r="AF62" s="35">
        <f>AB62/R62</f>
        <v>1.55</v>
      </c>
      <c r="AG62" s="29">
        <f>0.6*Z62+0.4*AA62</f>
        <v>165</v>
      </c>
      <c r="AH62" s="54">
        <v>1078</v>
      </c>
      <c r="AI62" s="59">
        <f>AH62/AG62</f>
        <v>6.5333333333333332</v>
      </c>
      <c r="AJ62" s="61">
        <f>AI62/AI$488</f>
        <v>1.3883615985801676</v>
      </c>
    </row>
    <row r="63" spans="1:36" ht="15" customHeight="1" x14ac:dyDescent="0.2">
      <c r="A63" s="28" t="s">
        <v>513</v>
      </c>
      <c r="B63" s="28"/>
      <c r="C63" s="27" t="s">
        <v>113</v>
      </c>
      <c r="D63" s="28">
        <v>16</v>
      </c>
      <c r="E63" s="27" t="s">
        <v>420</v>
      </c>
      <c r="F63" s="27"/>
      <c r="G63" s="27" t="s">
        <v>73</v>
      </c>
      <c r="H63" s="27">
        <v>11</v>
      </c>
      <c r="I63" s="27" t="s">
        <v>623</v>
      </c>
      <c r="J63" s="27">
        <v>3</v>
      </c>
      <c r="K63" s="27">
        <v>4</v>
      </c>
      <c r="L63" s="27">
        <v>15</v>
      </c>
      <c r="M63" s="29">
        <v>701</v>
      </c>
      <c r="N63" s="30">
        <v>906</v>
      </c>
      <c r="O63" s="30">
        <v>245</v>
      </c>
      <c r="P63" s="30">
        <v>556</v>
      </c>
      <c r="Q63" s="30">
        <v>2870</v>
      </c>
      <c r="R63" s="30">
        <v>3671</v>
      </c>
      <c r="S63" s="31">
        <f>R63/N63</f>
        <v>4.0518763796909489</v>
      </c>
      <c r="T63" s="32">
        <f>O63/R63</f>
        <v>6.673930809043857E-2</v>
      </c>
      <c r="U63" s="32">
        <f>P63/R63</f>
        <v>0.15145736856442385</v>
      </c>
      <c r="V63" s="32">
        <f>Q63/R63</f>
        <v>0.78180332334513758</v>
      </c>
      <c r="W63" s="31">
        <f>P63/O63</f>
        <v>2.2693877551020409</v>
      </c>
      <c r="X63" s="31">
        <f>Q63/(O63+P63)</f>
        <v>3.5830212234706615</v>
      </c>
      <c r="Y63" s="65">
        <f>R63/R$488</f>
        <v>1.0664102556653952E-2</v>
      </c>
      <c r="Z63" s="29">
        <v>4341</v>
      </c>
      <c r="AA63" s="29">
        <v>4503</v>
      </c>
      <c r="AB63" s="29">
        <v>5015</v>
      </c>
      <c r="AC63" s="34">
        <f>Z63/R63</f>
        <v>1.1825115772269137</v>
      </c>
      <c r="AD63" s="34">
        <f>AA63/Z63</f>
        <v>1.0373185901865929</v>
      </c>
      <c r="AE63" s="34">
        <f>AB63/AA63</f>
        <v>1.1137019764601377</v>
      </c>
      <c r="AF63" s="35">
        <f>AB63/R63</f>
        <v>1.3661127758104059</v>
      </c>
      <c r="AG63" s="29">
        <f>0.6*Z63+0.4*AA63</f>
        <v>4405.8</v>
      </c>
      <c r="AH63" s="54">
        <v>16113</v>
      </c>
      <c r="AI63" s="59">
        <f>AH63/AG63</f>
        <v>3.6572245676154158</v>
      </c>
      <c r="AJ63" s="61">
        <f>AI63/AI$488</f>
        <v>0.77717604291753084</v>
      </c>
    </row>
    <row r="64" spans="1:36" ht="15" customHeight="1" x14ac:dyDescent="0.2">
      <c r="A64" s="27" t="s">
        <v>386</v>
      </c>
      <c r="B64" s="27"/>
      <c r="C64" s="27" t="s">
        <v>330</v>
      </c>
      <c r="D64" s="27">
        <v>21</v>
      </c>
      <c r="E64" s="27"/>
      <c r="F64" s="27"/>
      <c r="G64" s="27" t="s">
        <v>330</v>
      </c>
      <c r="H64" s="27">
        <v>15</v>
      </c>
      <c r="I64" s="27" t="s">
        <v>624</v>
      </c>
      <c r="J64" s="27">
        <v>4</v>
      </c>
      <c r="K64" s="27">
        <v>4</v>
      </c>
      <c r="L64" s="27">
        <v>10</v>
      </c>
      <c r="M64" s="29">
        <v>125</v>
      </c>
      <c r="N64" s="30">
        <v>147</v>
      </c>
      <c r="O64" s="30">
        <v>165</v>
      </c>
      <c r="P64" s="30">
        <v>58</v>
      </c>
      <c r="Q64" s="30">
        <v>412</v>
      </c>
      <c r="R64" s="30">
        <v>635</v>
      </c>
      <c r="S64" s="31">
        <f>R64/N64</f>
        <v>4.3197278911564627</v>
      </c>
      <c r="T64" s="32">
        <f>O64/R64</f>
        <v>0.25984251968503935</v>
      </c>
      <c r="U64" s="32">
        <f>P64/R64</f>
        <v>9.1338582677165353E-2</v>
      </c>
      <c r="V64" s="32">
        <f>Q64/R64</f>
        <v>0.64881889763779532</v>
      </c>
      <c r="W64" s="31">
        <f>P64/O64</f>
        <v>0.3515151515151515</v>
      </c>
      <c r="X64" s="31">
        <f>Q64/(O64+P64)</f>
        <v>1.8475336322869955</v>
      </c>
      <c r="Y64" s="65">
        <f>R64/R$488</f>
        <v>1.8446486307478235E-3</v>
      </c>
      <c r="Z64" s="33">
        <v>729</v>
      </c>
      <c r="AA64" s="33">
        <v>854</v>
      </c>
      <c r="AB64" s="29">
        <v>796</v>
      </c>
      <c r="AC64" s="34">
        <f>Z64/R64</f>
        <v>1.148031496062992</v>
      </c>
      <c r="AD64" s="34">
        <f>AA64/Z64</f>
        <v>1.1714677640603566</v>
      </c>
      <c r="AE64" s="34">
        <f>AB64/AA64</f>
        <v>0.9320843091334895</v>
      </c>
      <c r="AF64" s="35">
        <f>AB64/R64</f>
        <v>1.2535433070866142</v>
      </c>
      <c r="AG64" s="29">
        <f>0.6*Z64+0.4*AA64</f>
        <v>779</v>
      </c>
      <c r="AH64" s="54">
        <v>5635</v>
      </c>
      <c r="AI64" s="59">
        <f>AH64/AG64</f>
        <v>7.2336328626444155</v>
      </c>
      <c r="AJ64" s="61">
        <f>AI64/AI$488</f>
        <v>1.5371782782739341</v>
      </c>
    </row>
    <row r="65" spans="1:36" ht="15" customHeight="1" x14ac:dyDescent="0.2">
      <c r="A65" s="27" t="s">
        <v>370</v>
      </c>
      <c r="B65" s="27"/>
      <c r="C65" s="27" t="s">
        <v>326</v>
      </c>
      <c r="D65" s="27">
        <v>5</v>
      </c>
      <c r="E65" s="27"/>
      <c r="F65" s="27" t="s">
        <v>480</v>
      </c>
      <c r="G65" s="27" t="s">
        <v>172</v>
      </c>
      <c r="H65" s="27">
        <v>1</v>
      </c>
      <c r="I65" s="27" t="s">
        <v>618</v>
      </c>
      <c r="J65" s="27">
        <v>6</v>
      </c>
      <c r="K65" s="27">
        <v>6</v>
      </c>
      <c r="L65" s="27">
        <v>9</v>
      </c>
      <c r="M65" s="29">
        <v>394</v>
      </c>
      <c r="N65" s="30">
        <v>394</v>
      </c>
      <c r="O65" s="30">
        <v>1314</v>
      </c>
      <c r="P65" s="30">
        <v>213</v>
      </c>
      <c r="Q65" s="30">
        <v>13</v>
      </c>
      <c r="R65" s="30">
        <v>1540</v>
      </c>
      <c r="S65" s="31">
        <f>R65/N65</f>
        <v>3.9086294416243654</v>
      </c>
      <c r="T65" s="32">
        <f>O65/R65</f>
        <v>0.85324675324675325</v>
      </c>
      <c r="U65" s="32">
        <f>P65/R65</f>
        <v>0.1383116883116883</v>
      </c>
      <c r="V65" s="32">
        <f>Q65/R65</f>
        <v>8.4415584415584409E-3</v>
      </c>
      <c r="W65" s="31">
        <f>P65/O65</f>
        <v>0.16210045662100456</v>
      </c>
      <c r="X65" s="31">
        <f>Q65/(O65+P65)</f>
        <v>8.5134250163719713E-3</v>
      </c>
      <c r="Y65" s="65">
        <f>R65/R$488</f>
        <v>4.4736360493726739E-3</v>
      </c>
      <c r="Z65" s="29">
        <v>1737</v>
      </c>
      <c r="AA65" s="29">
        <v>1885</v>
      </c>
      <c r="AB65" s="29">
        <v>2085</v>
      </c>
      <c r="AC65" s="34">
        <f>Z65/R65</f>
        <v>1.127922077922078</v>
      </c>
      <c r="AD65" s="34">
        <f>AA65/Z65</f>
        <v>1.0852043753598157</v>
      </c>
      <c r="AE65" s="34">
        <f>AB65/AA65</f>
        <v>1.1061007957559681</v>
      </c>
      <c r="AF65" s="35">
        <f>AB65/R65</f>
        <v>1.3538961038961039</v>
      </c>
      <c r="AG65" s="29">
        <f>0.6*Z65+0.4*AA65</f>
        <v>1796.2</v>
      </c>
      <c r="AH65" s="54">
        <v>14746</v>
      </c>
      <c r="AI65" s="59">
        <f>AH65/AG65</f>
        <v>8.2095535018372114</v>
      </c>
      <c r="AJ65" s="61">
        <f>AI65/AI$488</f>
        <v>1.7445656362408353</v>
      </c>
    </row>
    <row r="66" spans="1:36" ht="15" customHeight="1" x14ac:dyDescent="0.2">
      <c r="A66" s="28" t="s">
        <v>210</v>
      </c>
      <c r="B66" s="28"/>
      <c r="C66" s="28" t="s">
        <v>122</v>
      </c>
      <c r="D66" s="28">
        <v>15</v>
      </c>
      <c r="E66" s="27"/>
      <c r="F66" s="27"/>
      <c r="G66" s="27" t="s">
        <v>206</v>
      </c>
      <c r="H66" s="27">
        <v>16</v>
      </c>
      <c r="I66" s="27" t="s">
        <v>618</v>
      </c>
      <c r="J66" s="27">
        <v>6</v>
      </c>
      <c r="K66" s="27">
        <v>6</v>
      </c>
      <c r="L66" s="27">
        <v>8</v>
      </c>
      <c r="M66" s="29">
        <v>152</v>
      </c>
      <c r="N66" s="30">
        <v>152</v>
      </c>
      <c r="O66" s="30">
        <v>271</v>
      </c>
      <c r="P66" s="30">
        <v>23</v>
      </c>
      <c r="Q66" s="30">
        <v>486</v>
      </c>
      <c r="R66" s="30">
        <v>780</v>
      </c>
      <c r="S66" s="31">
        <f>R66/N66</f>
        <v>5.1315789473684212</v>
      </c>
      <c r="T66" s="32">
        <f>O66/R66</f>
        <v>0.34743589743589742</v>
      </c>
      <c r="U66" s="32">
        <f>P66/R66</f>
        <v>2.9487179487179487E-2</v>
      </c>
      <c r="V66" s="32">
        <f>Q66/R66</f>
        <v>0.62307692307692308</v>
      </c>
      <c r="W66" s="31">
        <f>P66/O66</f>
        <v>8.4870848708487087E-2</v>
      </c>
      <c r="X66" s="31">
        <f>Q66/(O66+P66)</f>
        <v>1.653061224489796</v>
      </c>
      <c r="Y66" s="65">
        <f>R66/R$488</f>
        <v>2.2658676094225233E-3</v>
      </c>
      <c r="Z66" s="33">
        <v>664</v>
      </c>
      <c r="AA66" s="33">
        <v>892</v>
      </c>
      <c r="AB66" s="29">
        <v>849</v>
      </c>
      <c r="AC66" s="34">
        <f>Z66/R66</f>
        <v>0.85128205128205126</v>
      </c>
      <c r="AD66" s="34">
        <f>AA66/Z66</f>
        <v>1.3433734939759037</v>
      </c>
      <c r="AE66" s="34">
        <f>AB66/AA66</f>
        <v>0.9517937219730942</v>
      </c>
      <c r="AF66" s="35">
        <f>AB66/R66</f>
        <v>1.0884615384615384</v>
      </c>
      <c r="AG66" s="29">
        <f>0.6*Z66+0.4*AA66</f>
        <v>755.2</v>
      </c>
      <c r="AH66" s="54">
        <v>5273</v>
      </c>
      <c r="AI66" s="59">
        <f>AH66/AG66</f>
        <v>6.9822563559322033</v>
      </c>
      <c r="AJ66" s="61">
        <f>AI66/AI$488</f>
        <v>1.4837596830640669</v>
      </c>
    </row>
    <row r="67" spans="1:36" ht="15" customHeight="1" x14ac:dyDescent="0.2">
      <c r="A67" s="28" t="s">
        <v>29</v>
      </c>
      <c r="B67" s="28"/>
      <c r="C67" s="27" t="s">
        <v>113</v>
      </c>
      <c r="D67" s="28">
        <v>16</v>
      </c>
      <c r="E67" s="27"/>
      <c r="F67" s="27"/>
      <c r="G67" s="27" t="s">
        <v>73</v>
      </c>
      <c r="H67" s="27">
        <v>11</v>
      </c>
      <c r="I67" s="27" t="s">
        <v>111</v>
      </c>
      <c r="J67" s="27">
        <v>5</v>
      </c>
      <c r="K67" s="27">
        <v>4</v>
      </c>
      <c r="L67" s="27">
        <v>17</v>
      </c>
      <c r="M67" s="29">
        <v>127</v>
      </c>
      <c r="N67" s="30">
        <v>132</v>
      </c>
      <c r="O67" s="30">
        <v>132</v>
      </c>
      <c r="P67" s="30">
        <v>130</v>
      </c>
      <c r="Q67" s="30">
        <v>405</v>
      </c>
      <c r="R67" s="30">
        <v>667</v>
      </c>
      <c r="S67" s="31">
        <f>R67/N67</f>
        <v>5.0530303030303028</v>
      </c>
      <c r="T67" s="32">
        <f>O67/R67</f>
        <v>0.19790104947526238</v>
      </c>
      <c r="U67" s="32">
        <f>P67/R67</f>
        <v>0.19490254872563717</v>
      </c>
      <c r="V67" s="32">
        <f>Q67/R67</f>
        <v>0.6071964017991005</v>
      </c>
      <c r="W67" s="31">
        <f>P67/O67</f>
        <v>0.98484848484848486</v>
      </c>
      <c r="X67" s="31">
        <f>Q67/(O67+P67)</f>
        <v>1.5458015267175573</v>
      </c>
      <c r="Y67" s="65">
        <f>R67/R$488</f>
        <v>1.9376073019036193E-3</v>
      </c>
      <c r="Z67" s="33">
        <v>708</v>
      </c>
      <c r="AA67" s="33">
        <v>789</v>
      </c>
      <c r="AB67" s="29">
        <v>748</v>
      </c>
      <c r="AC67" s="34">
        <f>Z67/R67</f>
        <v>1.0614692653673163</v>
      </c>
      <c r="AD67" s="34">
        <f>AA67/Z67</f>
        <v>1.1144067796610169</v>
      </c>
      <c r="AE67" s="34">
        <f>AB67/AA67</f>
        <v>0.94803548795944237</v>
      </c>
      <c r="AF67" s="35">
        <f>AB67/R67</f>
        <v>1.1214392803598201</v>
      </c>
      <c r="AG67" s="29">
        <f>0.6*Z67+0.4*AA67</f>
        <v>740.40000000000009</v>
      </c>
      <c r="AH67" s="54">
        <v>3544</v>
      </c>
      <c r="AI67" s="59">
        <f>AH67/AG67</f>
        <v>4.7866018368449481</v>
      </c>
      <c r="AJ67" s="61">
        <f>AI67/AI$488</f>
        <v>1.0171735986686967</v>
      </c>
    </row>
    <row r="68" spans="1:36" ht="15" customHeight="1" x14ac:dyDescent="0.2">
      <c r="A68" s="28" t="s">
        <v>64</v>
      </c>
      <c r="B68" s="28"/>
      <c r="C68" s="28" t="s">
        <v>117</v>
      </c>
      <c r="D68" s="28">
        <v>3</v>
      </c>
      <c r="E68" s="27"/>
      <c r="F68" s="27"/>
      <c r="G68" s="27" t="s">
        <v>4</v>
      </c>
      <c r="H68" s="27">
        <v>14</v>
      </c>
      <c r="I68" s="27" t="s">
        <v>622</v>
      </c>
      <c r="J68" s="27">
        <v>8</v>
      </c>
      <c r="K68" s="27">
        <v>2</v>
      </c>
      <c r="L68" s="27">
        <v>8</v>
      </c>
      <c r="M68" s="29">
        <v>61</v>
      </c>
      <c r="N68" s="30">
        <v>63</v>
      </c>
      <c r="O68" s="30">
        <v>303</v>
      </c>
      <c r="P68" s="30">
        <v>8</v>
      </c>
      <c r="Q68" s="30">
        <v>0</v>
      </c>
      <c r="R68" s="30">
        <v>311</v>
      </c>
      <c r="S68" s="31">
        <f>R68/N68</f>
        <v>4.9365079365079367</v>
      </c>
      <c r="T68" s="32">
        <f>O68/R68</f>
        <v>0.97427652733118975</v>
      </c>
      <c r="U68" s="32">
        <f>P68/R68</f>
        <v>2.5723472668810289E-2</v>
      </c>
      <c r="V68" s="32">
        <f>Q68/R68</f>
        <v>0</v>
      </c>
      <c r="W68" s="31">
        <f>P68/O68</f>
        <v>2.6402640264026403E-2</v>
      </c>
      <c r="X68" s="31">
        <f>Q68/(O68+P68)</f>
        <v>0</v>
      </c>
      <c r="Y68" s="65">
        <f>R68/R$488</f>
        <v>9.0344208529539072E-4</v>
      </c>
      <c r="Z68" s="33">
        <v>342</v>
      </c>
      <c r="AA68" s="33">
        <v>389</v>
      </c>
      <c r="AB68" s="29">
        <v>388</v>
      </c>
      <c r="AC68" s="34">
        <f>Z68/R68</f>
        <v>1.0996784565916398</v>
      </c>
      <c r="AD68" s="34">
        <f>AA68/Z68</f>
        <v>1.1374269005847952</v>
      </c>
      <c r="AE68" s="34">
        <f>AB68/AA68</f>
        <v>0.99742930591259638</v>
      </c>
      <c r="AF68" s="35">
        <f>AB68/R68</f>
        <v>1.247588424437299</v>
      </c>
      <c r="AG68" s="29">
        <f>0.6*Z68+0.4*AA68</f>
        <v>360.8</v>
      </c>
      <c r="AH68" s="54">
        <v>1707</v>
      </c>
      <c r="AI68" s="59">
        <f>AH68/AG68</f>
        <v>4.7311529933481156</v>
      </c>
      <c r="AJ68" s="61">
        <f>AI68/AI$488</f>
        <v>1.0053904795365514</v>
      </c>
    </row>
    <row r="69" spans="1:36" ht="15" customHeight="1" x14ac:dyDescent="0.2">
      <c r="A69" s="28" t="s">
        <v>223</v>
      </c>
      <c r="B69" s="28"/>
      <c r="C69" s="28" t="s">
        <v>121</v>
      </c>
      <c r="D69" s="28">
        <v>18</v>
      </c>
      <c r="E69" s="27"/>
      <c r="F69" s="27"/>
      <c r="G69" s="27" t="s">
        <v>126</v>
      </c>
      <c r="H69" s="27">
        <v>20</v>
      </c>
      <c r="I69" s="27" t="s">
        <v>619</v>
      </c>
      <c r="J69" s="27">
        <v>9</v>
      </c>
      <c r="K69" s="27">
        <v>3</v>
      </c>
      <c r="L69" s="27">
        <v>11</v>
      </c>
      <c r="M69" s="29">
        <v>106</v>
      </c>
      <c r="N69" s="30">
        <v>126</v>
      </c>
      <c r="O69" s="30">
        <v>427</v>
      </c>
      <c r="P69" s="30">
        <v>10</v>
      </c>
      <c r="Q69" s="30">
        <v>149</v>
      </c>
      <c r="R69" s="30">
        <v>586</v>
      </c>
      <c r="S69" s="31">
        <f>R69/N69</f>
        <v>4.6507936507936511</v>
      </c>
      <c r="T69" s="32">
        <f>O69/R69</f>
        <v>0.72866894197952214</v>
      </c>
      <c r="U69" s="32">
        <f>P69/R69</f>
        <v>1.7064846416382253E-2</v>
      </c>
      <c r="V69" s="32">
        <f>Q69/R69</f>
        <v>0.25426621160409557</v>
      </c>
      <c r="W69" s="31">
        <f>P69/O69</f>
        <v>2.3419203747072601E-2</v>
      </c>
      <c r="X69" s="31">
        <f>Q69/(O69+P69)</f>
        <v>0.34096109839816935</v>
      </c>
      <c r="Y69" s="65">
        <f>R69/R$488</f>
        <v>1.702305665540511E-3</v>
      </c>
      <c r="Z69" s="33">
        <v>688</v>
      </c>
      <c r="AA69" s="33">
        <v>748</v>
      </c>
      <c r="AB69" s="29">
        <v>879</v>
      </c>
      <c r="AC69" s="34">
        <f>Z69/R69</f>
        <v>1.1740614334470989</v>
      </c>
      <c r="AD69" s="34">
        <f>AA69/Z69</f>
        <v>1.0872093023255813</v>
      </c>
      <c r="AE69" s="34">
        <f>AB69/AA69</f>
        <v>1.1751336898395721</v>
      </c>
      <c r="AF69" s="35">
        <f>AB69/R69</f>
        <v>1.5</v>
      </c>
      <c r="AG69" s="29">
        <f>0.6*Z69+0.4*AA69</f>
        <v>712</v>
      </c>
      <c r="AH69" s="54">
        <v>2639</v>
      </c>
      <c r="AI69" s="59">
        <f>AH69/AG69</f>
        <v>3.7064606741573032</v>
      </c>
      <c r="AJ69" s="61">
        <f>AI69/AI$488</f>
        <v>0.78763892856850404</v>
      </c>
    </row>
    <row r="70" spans="1:36" ht="15" customHeight="1" x14ac:dyDescent="0.2">
      <c r="A70" s="28" t="s">
        <v>237</v>
      </c>
      <c r="B70" s="28"/>
      <c r="C70" s="28" t="s">
        <v>118</v>
      </c>
      <c r="D70" s="28">
        <v>19</v>
      </c>
      <c r="E70" s="27"/>
      <c r="F70" s="27"/>
      <c r="G70" s="27" t="s">
        <v>69</v>
      </c>
      <c r="H70" s="27">
        <v>5</v>
      </c>
      <c r="I70" s="27" t="s">
        <v>621</v>
      </c>
      <c r="J70" s="27">
        <v>7</v>
      </c>
      <c r="K70" s="27">
        <v>2</v>
      </c>
      <c r="L70" s="27">
        <v>10</v>
      </c>
      <c r="M70" s="29">
        <v>25</v>
      </c>
      <c r="N70" s="30">
        <v>25</v>
      </c>
      <c r="O70" s="30">
        <v>53</v>
      </c>
      <c r="P70" s="30">
        <v>2</v>
      </c>
      <c r="Q70" s="30">
        <v>91</v>
      </c>
      <c r="R70" s="30">
        <v>146</v>
      </c>
      <c r="S70" s="31">
        <f>R70/N70</f>
        <v>5.84</v>
      </c>
      <c r="T70" s="32">
        <f>O70/R70</f>
        <v>0.36301369863013699</v>
      </c>
      <c r="U70" s="32">
        <f>P70/R70</f>
        <v>1.3698630136986301E-2</v>
      </c>
      <c r="V70" s="32">
        <f>Q70/R70</f>
        <v>0.62328767123287676</v>
      </c>
      <c r="W70" s="31">
        <f>P70/O70</f>
        <v>3.7735849056603772E-2</v>
      </c>
      <c r="X70" s="31">
        <f>Q70/(O70+P70)</f>
        <v>1.6545454545454545</v>
      </c>
      <c r="Y70" s="65">
        <f>R70/R$488</f>
        <v>4.2412393714831847E-4</v>
      </c>
      <c r="Z70" s="33">
        <v>140</v>
      </c>
      <c r="AA70" s="33">
        <v>134</v>
      </c>
      <c r="AB70" s="29">
        <v>136</v>
      </c>
      <c r="AC70" s="34">
        <f>Z70/R70</f>
        <v>0.95890410958904104</v>
      </c>
      <c r="AD70" s="34">
        <f>AA70/Z70</f>
        <v>0.95714285714285718</v>
      </c>
      <c r="AE70" s="34">
        <f>AB70/AA70</f>
        <v>1.0149253731343284</v>
      </c>
      <c r="AF70" s="35">
        <f>AB70/R70</f>
        <v>0.93150684931506844</v>
      </c>
      <c r="AG70" s="29">
        <f>0.6*Z70+0.4*AA70</f>
        <v>137.6</v>
      </c>
      <c r="AH70" s="54">
        <v>585</v>
      </c>
      <c r="AI70" s="59">
        <f>AH70/AG70</f>
        <v>4.2514534883720936</v>
      </c>
      <c r="AJ70" s="61">
        <f>AI70/AI$488</f>
        <v>0.90345225939880258</v>
      </c>
    </row>
    <row r="71" spans="1:36" ht="15" customHeight="1" x14ac:dyDescent="0.2">
      <c r="A71" s="28" t="s">
        <v>216</v>
      </c>
      <c r="B71" s="28">
        <v>2</v>
      </c>
      <c r="C71" s="28" t="s">
        <v>114</v>
      </c>
      <c r="D71" s="27">
        <v>17</v>
      </c>
      <c r="E71" s="27"/>
      <c r="F71" s="27"/>
      <c r="G71" s="27" t="s">
        <v>206</v>
      </c>
      <c r="H71" s="27">
        <v>16</v>
      </c>
      <c r="I71" s="27" t="s">
        <v>618</v>
      </c>
      <c r="J71" s="27">
        <v>6</v>
      </c>
      <c r="K71" s="27">
        <v>7</v>
      </c>
      <c r="L71" s="27">
        <v>5</v>
      </c>
      <c r="M71" s="29">
        <v>56</v>
      </c>
      <c r="N71" s="30">
        <v>56</v>
      </c>
      <c r="O71" s="30">
        <v>143</v>
      </c>
      <c r="P71" s="30">
        <v>15</v>
      </c>
      <c r="Q71" s="30">
        <v>122</v>
      </c>
      <c r="R71" s="30">
        <v>280</v>
      </c>
      <c r="S71" s="31">
        <f>R71/N71</f>
        <v>5</v>
      </c>
      <c r="T71" s="32">
        <f>O71/R71</f>
        <v>0.51071428571428568</v>
      </c>
      <c r="U71" s="32">
        <f>P71/R71</f>
        <v>5.3571428571428568E-2</v>
      </c>
      <c r="V71" s="32">
        <f>Q71/R71</f>
        <v>0.43571428571428572</v>
      </c>
      <c r="W71" s="31">
        <f>P71/O71</f>
        <v>0.1048951048951049</v>
      </c>
      <c r="X71" s="31">
        <f>Q71/(O71+P71)</f>
        <v>0.77215189873417722</v>
      </c>
      <c r="Y71" s="65">
        <f>R71/R$488</f>
        <v>8.1338837261321346E-4</v>
      </c>
      <c r="Z71" s="33">
        <v>290</v>
      </c>
      <c r="AA71" s="33">
        <v>315</v>
      </c>
      <c r="AB71" s="29">
        <v>304</v>
      </c>
      <c r="AC71" s="34">
        <f>Z71/R71</f>
        <v>1.0357142857142858</v>
      </c>
      <c r="AD71" s="34">
        <f>AA71/Z71</f>
        <v>1.0862068965517242</v>
      </c>
      <c r="AE71" s="34">
        <f>AB71/AA71</f>
        <v>0.96507936507936509</v>
      </c>
      <c r="AF71" s="35">
        <f>AB71/R71</f>
        <v>1.0857142857142856</v>
      </c>
      <c r="AG71" s="29">
        <f>0.6*Z71+0.4*AA71</f>
        <v>300</v>
      </c>
      <c r="AH71" s="54">
        <v>2876</v>
      </c>
      <c r="AI71" s="59">
        <f>AH71/AG71</f>
        <v>9.586666666666666</v>
      </c>
      <c r="AJ71" s="61">
        <f>AI71/AI$488</f>
        <v>2.0372081415900825</v>
      </c>
    </row>
    <row r="72" spans="1:36" ht="15" customHeight="1" x14ac:dyDescent="0.2">
      <c r="A72" s="27" t="s">
        <v>8</v>
      </c>
      <c r="B72" s="27"/>
      <c r="C72" s="27" t="s">
        <v>110</v>
      </c>
      <c r="D72" s="27">
        <v>26</v>
      </c>
      <c r="E72" s="27" t="s">
        <v>421</v>
      </c>
      <c r="F72" s="27"/>
      <c r="G72" s="27" t="s">
        <v>26</v>
      </c>
      <c r="H72" s="27">
        <v>24</v>
      </c>
      <c r="I72" s="27" t="s">
        <v>111</v>
      </c>
      <c r="J72" s="27">
        <v>5</v>
      </c>
      <c r="K72" s="27">
        <v>4</v>
      </c>
      <c r="L72" s="27">
        <v>12</v>
      </c>
      <c r="M72" s="29">
        <v>260</v>
      </c>
      <c r="N72" s="30">
        <v>307</v>
      </c>
      <c r="O72" s="30">
        <v>457</v>
      </c>
      <c r="P72" s="30">
        <v>1060</v>
      </c>
      <c r="Q72" s="30">
        <v>8</v>
      </c>
      <c r="R72" s="30">
        <v>1525</v>
      </c>
      <c r="S72" s="31">
        <f>R72/N72</f>
        <v>4.9674267100977199</v>
      </c>
      <c r="T72" s="32">
        <f>O72/R72</f>
        <v>0.29967213114754099</v>
      </c>
      <c r="U72" s="32">
        <f>P72/R72</f>
        <v>0.69508196721311477</v>
      </c>
      <c r="V72" s="32">
        <f>Q72/R72</f>
        <v>5.2459016393442623E-3</v>
      </c>
      <c r="W72" s="31">
        <f>P72/O72</f>
        <v>2.3194748358862145</v>
      </c>
      <c r="X72" s="31">
        <f>Q72/(O72+P72)</f>
        <v>5.2735662491760048E-3</v>
      </c>
      <c r="Y72" s="65">
        <f>R72/R$488</f>
        <v>4.4300616722683945E-3</v>
      </c>
      <c r="Z72" s="29">
        <v>1836</v>
      </c>
      <c r="AA72" s="29">
        <v>2240</v>
      </c>
      <c r="AB72" s="29">
        <v>2445</v>
      </c>
      <c r="AC72" s="34">
        <f>Z72/R72</f>
        <v>1.2039344262295082</v>
      </c>
      <c r="AD72" s="34">
        <f>AA72/Z72</f>
        <v>1.2200435729847494</v>
      </c>
      <c r="AE72" s="34">
        <f>AB72/AA72</f>
        <v>1.0915178571428572</v>
      </c>
      <c r="AF72" s="35">
        <f>AB72/R72</f>
        <v>1.6032786885245902</v>
      </c>
      <c r="AG72" s="29">
        <f>0.6*Z72+0.4*AA72</f>
        <v>1997.6</v>
      </c>
      <c r="AH72" s="54">
        <v>5802</v>
      </c>
      <c r="AI72" s="59">
        <f>AH72/AG72</f>
        <v>2.9044853824589509</v>
      </c>
      <c r="AJ72" s="61">
        <f>AI72/AI$488</f>
        <v>0.6172157094862406</v>
      </c>
    </row>
    <row r="73" spans="1:36" ht="15" customHeight="1" x14ac:dyDescent="0.2">
      <c r="A73" s="28" t="s">
        <v>260</v>
      </c>
      <c r="B73" s="28"/>
      <c r="C73" s="28" t="s">
        <v>123</v>
      </c>
      <c r="D73" s="28">
        <v>23</v>
      </c>
      <c r="E73" s="27"/>
      <c r="F73" s="27"/>
      <c r="G73" s="27" t="s">
        <v>30</v>
      </c>
      <c r="H73" s="27">
        <v>8</v>
      </c>
      <c r="I73" s="27" t="s">
        <v>619</v>
      </c>
      <c r="J73" s="27">
        <v>9</v>
      </c>
      <c r="K73" s="27">
        <v>2</v>
      </c>
      <c r="L73" s="27">
        <v>4</v>
      </c>
      <c r="M73" s="29">
        <v>152</v>
      </c>
      <c r="N73" s="30">
        <v>164</v>
      </c>
      <c r="O73" s="30">
        <v>627</v>
      </c>
      <c r="P73" s="30">
        <v>140</v>
      </c>
      <c r="Q73" s="30">
        <v>105</v>
      </c>
      <c r="R73" s="30">
        <v>872</v>
      </c>
      <c r="S73" s="31">
        <f>R73/N73</f>
        <v>5.3170731707317076</v>
      </c>
      <c r="T73" s="32">
        <f>O73/R73</f>
        <v>0.71903669724770647</v>
      </c>
      <c r="U73" s="32">
        <f>P73/R73</f>
        <v>0.16055045871559634</v>
      </c>
      <c r="V73" s="32">
        <f>Q73/R73</f>
        <v>0.12041284403669725</v>
      </c>
      <c r="W73" s="31">
        <f>P73/O73</f>
        <v>0.22328548644338117</v>
      </c>
      <c r="X73" s="31">
        <f>Q73/(O73+P73)</f>
        <v>0.13689700130378096</v>
      </c>
      <c r="Y73" s="65">
        <f>R73/R$488</f>
        <v>2.5331237889954362E-3</v>
      </c>
      <c r="Z73" s="33">
        <v>787</v>
      </c>
      <c r="AA73" s="29">
        <v>1043</v>
      </c>
      <c r="AB73" s="29">
        <v>1096</v>
      </c>
      <c r="AC73" s="34">
        <f>Z73/R73</f>
        <v>0.90252293577981646</v>
      </c>
      <c r="AD73" s="34">
        <f>AA73/Z73</f>
        <v>1.3252858958068614</v>
      </c>
      <c r="AE73" s="34">
        <f>AB73/AA73</f>
        <v>1.0508149568552254</v>
      </c>
      <c r="AF73" s="35">
        <f>AB73/R73</f>
        <v>1.2568807339449541</v>
      </c>
      <c r="AG73" s="29">
        <f>0.6*Z73+0.4*AA73</f>
        <v>889.40000000000009</v>
      </c>
      <c r="AH73" s="54">
        <v>3944</v>
      </c>
      <c r="AI73" s="59">
        <f>AH73/AG73</f>
        <v>4.434450191140094</v>
      </c>
      <c r="AJ73" s="61">
        <f>AI73/AI$488</f>
        <v>0.94233985043807</v>
      </c>
    </row>
    <row r="74" spans="1:36" ht="15" customHeight="1" x14ac:dyDescent="0.2">
      <c r="A74" s="28" t="s">
        <v>261</v>
      </c>
      <c r="B74" s="28"/>
      <c r="C74" s="28" t="s">
        <v>123</v>
      </c>
      <c r="D74" s="28">
        <v>23</v>
      </c>
      <c r="E74" s="27"/>
      <c r="F74" s="27"/>
      <c r="G74" s="27" t="s">
        <v>427</v>
      </c>
      <c r="H74" s="27">
        <v>23</v>
      </c>
      <c r="I74" s="27" t="s">
        <v>619</v>
      </c>
      <c r="J74" s="27">
        <v>9</v>
      </c>
      <c r="K74" s="27">
        <v>2</v>
      </c>
      <c r="L74" s="27">
        <v>5</v>
      </c>
      <c r="M74" s="29">
        <v>47</v>
      </c>
      <c r="N74" s="30">
        <v>47</v>
      </c>
      <c r="O74" s="30">
        <v>128</v>
      </c>
      <c r="P74" s="30">
        <v>13</v>
      </c>
      <c r="Q74" s="30">
        <v>111</v>
      </c>
      <c r="R74" s="30">
        <v>252</v>
      </c>
      <c r="S74" s="31">
        <f>R74/N74</f>
        <v>5.3617021276595747</v>
      </c>
      <c r="T74" s="32">
        <f>O74/R74</f>
        <v>0.50793650793650791</v>
      </c>
      <c r="U74" s="32">
        <f>P74/R74</f>
        <v>5.1587301587301584E-2</v>
      </c>
      <c r="V74" s="32">
        <f>Q74/R74</f>
        <v>0.44047619047619047</v>
      </c>
      <c r="W74" s="31">
        <f>P74/O74</f>
        <v>0.1015625</v>
      </c>
      <c r="X74" s="31">
        <f>Q74/(O74+P74)</f>
        <v>0.78723404255319152</v>
      </c>
      <c r="Y74" s="65">
        <f>R74/R$488</f>
        <v>7.3204953535189218E-4</v>
      </c>
      <c r="Z74" s="33">
        <v>273</v>
      </c>
      <c r="AA74" s="33">
        <v>274</v>
      </c>
      <c r="AB74" s="29">
        <v>317</v>
      </c>
      <c r="AC74" s="34">
        <f>Z74/R74</f>
        <v>1.0833333333333333</v>
      </c>
      <c r="AD74" s="34">
        <f>AA74/Z74</f>
        <v>1.0036630036630036</v>
      </c>
      <c r="AE74" s="34">
        <f>AB74/AA74</f>
        <v>1.1569343065693432</v>
      </c>
      <c r="AF74" s="35">
        <f>AB74/R74</f>
        <v>1.2579365079365079</v>
      </c>
      <c r="AG74" s="29">
        <f>0.6*Z74+0.4*AA74</f>
        <v>273.39999999999998</v>
      </c>
      <c r="AH74" s="54">
        <v>1359</v>
      </c>
      <c r="AI74" s="59">
        <f>AH74/AG74</f>
        <v>4.9707388441843454</v>
      </c>
      <c r="AJ74" s="61">
        <f>AI74/AI$488</f>
        <v>1.0563035093627009</v>
      </c>
    </row>
    <row r="75" spans="1:36" ht="15" customHeight="1" x14ac:dyDescent="0.2">
      <c r="A75" s="27" t="s">
        <v>212</v>
      </c>
      <c r="B75" s="27"/>
      <c r="C75" s="28" t="s">
        <v>113</v>
      </c>
      <c r="D75" s="28">
        <v>16</v>
      </c>
      <c r="E75" s="27"/>
      <c r="F75" s="27"/>
      <c r="G75" s="27" t="s">
        <v>426</v>
      </c>
      <c r="H75" s="27">
        <v>13</v>
      </c>
      <c r="I75" s="27" t="s">
        <v>111</v>
      </c>
      <c r="J75" s="27">
        <v>5</v>
      </c>
      <c r="K75" s="27">
        <v>5</v>
      </c>
      <c r="L75" s="27">
        <v>1</v>
      </c>
      <c r="M75" s="29">
        <v>19</v>
      </c>
      <c r="N75" s="30">
        <v>20</v>
      </c>
      <c r="O75" s="30">
        <v>101</v>
      </c>
      <c r="P75" s="30">
        <v>0</v>
      </c>
      <c r="Q75" s="30">
        <v>5</v>
      </c>
      <c r="R75" s="30">
        <v>106</v>
      </c>
      <c r="S75" s="31">
        <f>R75/N75</f>
        <v>5.3</v>
      </c>
      <c r="T75" s="32">
        <f>O75/R75</f>
        <v>0.95283018867924529</v>
      </c>
      <c r="U75" s="32">
        <f>P75/R75</f>
        <v>0</v>
      </c>
      <c r="V75" s="32">
        <f>Q75/R75</f>
        <v>4.716981132075472E-2</v>
      </c>
      <c r="W75" s="31">
        <f>P75/O75</f>
        <v>0</v>
      </c>
      <c r="X75" s="31">
        <f>Q75/(O75+P75)</f>
        <v>4.9504950495049507E-2</v>
      </c>
      <c r="Y75" s="65">
        <f>R75/R$488</f>
        <v>3.0792559820357366E-4</v>
      </c>
      <c r="Z75" s="33">
        <v>107</v>
      </c>
      <c r="AA75" s="33">
        <v>137</v>
      </c>
      <c r="AB75" s="29">
        <v>139</v>
      </c>
      <c r="AC75" s="34">
        <f>Z75/R75</f>
        <v>1.0094339622641511</v>
      </c>
      <c r="AD75" s="34">
        <f>AA75/Z75</f>
        <v>1.280373831775701</v>
      </c>
      <c r="AE75" s="34">
        <f>AB75/AA75</f>
        <v>1.0145985401459854</v>
      </c>
      <c r="AF75" s="35">
        <f>AB75/R75</f>
        <v>1.3113207547169812</v>
      </c>
      <c r="AG75" s="29">
        <f>0.6*Z75+0.4*AA75</f>
        <v>119</v>
      </c>
      <c r="AH75" s="54">
        <v>861</v>
      </c>
      <c r="AI75" s="59">
        <f>AH75/AG75</f>
        <v>7.2352941176470589</v>
      </c>
      <c r="AJ75" s="61">
        <f>AI75/AI$488</f>
        <v>1.5375313021491053</v>
      </c>
    </row>
    <row r="76" spans="1:36" ht="15" customHeight="1" x14ac:dyDescent="0.2">
      <c r="A76" s="27" t="s">
        <v>248</v>
      </c>
      <c r="B76" s="27"/>
      <c r="C76" s="28" t="s">
        <v>115</v>
      </c>
      <c r="D76" s="28">
        <v>22</v>
      </c>
      <c r="E76" s="27"/>
      <c r="F76" s="27"/>
      <c r="G76" s="27" t="s">
        <v>428</v>
      </c>
      <c r="H76" s="27">
        <v>19</v>
      </c>
      <c r="I76" s="27" t="s">
        <v>622</v>
      </c>
      <c r="J76" s="27">
        <v>8</v>
      </c>
      <c r="K76" s="27">
        <v>4</v>
      </c>
      <c r="L76" s="27">
        <v>9</v>
      </c>
      <c r="M76" s="29">
        <v>144</v>
      </c>
      <c r="N76" s="30">
        <v>157</v>
      </c>
      <c r="O76" s="30">
        <v>620</v>
      </c>
      <c r="P76" s="30">
        <v>233</v>
      </c>
      <c r="Q76" s="30">
        <v>65</v>
      </c>
      <c r="R76" s="30">
        <v>918</v>
      </c>
      <c r="S76" s="31">
        <f>R76/N76</f>
        <v>5.8471337579617835</v>
      </c>
      <c r="T76" s="32">
        <f>O76/R76</f>
        <v>0.6753812636165577</v>
      </c>
      <c r="U76" s="32">
        <f>P76/R76</f>
        <v>0.25381263616557737</v>
      </c>
      <c r="V76" s="32">
        <f>Q76/R76</f>
        <v>7.0806100217864917E-2</v>
      </c>
      <c r="W76" s="31">
        <f>P76/O76</f>
        <v>0.37580645161290321</v>
      </c>
      <c r="X76" s="31">
        <f>Q76/(O76+P76)</f>
        <v>7.6201641266119571E-2</v>
      </c>
      <c r="Y76" s="65">
        <f>R76/R$488</f>
        <v>2.6667518787818929E-3</v>
      </c>
      <c r="Z76" s="33">
        <v>931</v>
      </c>
      <c r="AA76" s="29">
        <v>1177</v>
      </c>
      <c r="AB76" s="29">
        <v>1274</v>
      </c>
      <c r="AC76" s="34">
        <f>Z76/R76</f>
        <v>1.014161220043573</v>
      </c>
      <c r="AD76" s="34">
        <f>AA76/Z76</f>
        <v>1.2642320085929108</v>
      </c>
      <c r="AE76" s="34">
        <f>AB76/AA76</f>
        <v>1.0824129141886152</v>
      </c>
      <c r="AF76" s="35">
        <f>AB76/R76</f>
        <v>1.3877995642701526</v>
      </c>
      <c r="AG76" s="29">
        <f>0.6*Z76+0.4*AA76</f>
        <v>1029.4000000000001</v>
      </c>
      <c r="AH76" s="54">
        <v>7138</v>
      </c>
      <c r="AI76" s="59">
        <f>AH76/AG76</f>
        <v>6.9341363901301722</v>
      </c>
      <c r="AJ76" s="61">
        <f>AI76/AI$488</f>
        <v>1.4735339821490876</v>
      </c>
    </row>
    <row r="77" spans="1:36" ht="15" customHeight="1" x14ac:dyDescent="0.2">
      <c r="A77" s="27" t="s">
        <v>151</v>
      </c>
      <c r="B77" s="27"/>
      <c r="C77" s="28" t="s">
        <v>112</v>
      </c>
      <c r="D77" s="28">
        <v>6</v>
      </c>
      <c r="E77" s="27"/>
      <c r="F77" s="27"/>
      <c r="G77" s="27" t="s">
        <v>287</v>
      </c>
      <c r="H77" s="27">
        <v>25</v>
      </c>
      <c r="I77" s="27" t="s">
        <v>624</v>
      </c>
      <c r="J77" s="27">
        <v>4</v>
      </c>
      <c r="K77" s="27">
        <v>4</v>
      </c>
      <c r="L77" s="27">
        <v>13</v>
      </c>
      <c r="M77" s="29">
        <v>2</v>
      </c>
      <c r="N77" s="30">
        <v>2</v>
      </c>
      <c r="O77" s="30">
        <v>6</v>
      </c>
      <c r="P77" s="30">
        <v>0</v>
      </c>
      <c r="Q77" s="30">
        <v>3</v>
      </c>
      <c r="R77" s="30">
        <v>9</v>
      </c>
      <c r="S77" s="31">
        <f>R77/N77</f>
        <v>4.5</v>
      </c>
      <c r="T77" s="32">
        <f>O77/R77</f>
        <v>0.66666666666666663</v>
      </c>
      <c r="U77" s="32">
        <f>P77/R77</f>
        <v>0</v>
      </c>
      <c r="V77" s="32">
        <f>Q77/R77</f>
        <v>0.33333333333333331</v>
      </c>
      <c r="W77" s="31">
        <f>P77/O77</f>
        <v>0</v>
      </c>
      <c r="X77" s="31">
        <f>Q77/(O77+P77)</f>
        <v>0.5</v>
      </c>
      <c r="Y77" s="65">
        <f>R77/R$488</f>
        <v>2.6144626262567577E-5</v>
      </c>
      <c r="Z77" s="33">
        <v>25</v>
      </c>
      <c r="AA77" s="33">
        <v>40</v>
      </c>
      <c r="AB77" s="29">
        <v>46</v>
      </c>
      <c r="AC77" s="34">
        <f>Z77/R77</f>
        <v>2.7777777777777777</v>
      </c>
      <c r="AD77" s="34">
        <f>AA77/Z77</f>
        <v>1.6</v>
      </c>
      <c r="AE77" s="34">
        <f>AB77/AA77</f>
        <v>1.1499999999999999</v>
      </c>
      <c r="AF77" s="35">
        <f>AB77/R77</f>
        <v>5.1111111111111107</v>
      </c>
      <c r="AG77" s="29">
        <f>0.6*Z77+0.4*AA77</f>
        <v>31</v>
      </c>
      <c r="AH77" s="54">
        <v>848</v>
      </c>
      <c r="AI77" s="59">
        <f>AH77/AG77</f>
        <v>27.35483870967742</v>
      </c>
      <c r="AJ77" s="61">
        <f>AI77/AI$488</f>
        <v>5.8130215714087337</v>
      </c>
    </row>
    <row r="78" spans="1:36" ht="15" customHeight="1" x14ac:dyDescent="0.2">
      <c r="A78" s="28" t="s">
        <v>262</v>
      </c>
      <c r="B78" s="28"/>
      <c r="C78" s="28" t="s">
        <v>123</v>
      </c>
      <c r="D78" s="28">
        <v>23</v>
      </c>
      <c r="E78" s="27"/>
      <c r="F78" s="27"/>
      <c r="G78" s="27" t="s">
        <v>30</v>
      </c>
      <c r="H78" s="27">
        <v>8</v>
      </c>
      <c r="I78" s="27" t="s">
        <v>619</v>
      </c>
      <c r="J78" s="27">
        <v>9</v>
      </c>
      <c r="K78" s="27">
        <v>3</v>
      </c>
      <c r="L78" s="27">
        <v>4</v>
      </c>
      <c r="M78" s="29">
        <v>17</v>
      </c>
      <c r="N78" s="30">
        <v>17</v>
      </c>
      <c r="O78" s="30">
        <v>59</v>
      </c>
      <c r="P78" s="30">
        <v>10</v>
      </c>
      <c r="Q78" s="30">
        <v>41</v>
      </c>
      <c r="R78" s="30">
        <v>110</v>
      </c>
      <c r="S78" s="31">
        <f>R78/N78</f>
        <v>6.4705882352941178</v>
      </c>
      <c r="T78" s="32">
        <f>O78/R78</f>
        <v>0.53636363636363638</v>
      </c>
      <c r="U78" s="32">
        <f>P78/R78</f>
        <v>9.0909090909090912E-2</v>
      </c>
      <c r="V78" s="32">
        <f>Q78/R78</f>
        <v>0.37272727272727274</v>
      </c>
      <c r="W78" s="31">
        <f>P78/O78</f>
        <v>0.16949152542372881</v>
      </c>
      <c r="X78" s="31">
        <f>Q78/(O78+P78)</f>
        <v>0.59420289855072461</v>
      </c>
      <c r="Y78" s="65">
        <f>R78/R$488</f>
        <v>3.1954543209804817E-4</v>
      </c>
      <c r="Z78" s="33">
        <v>126</v>
      </c>
      <c r="AA78" s="33">
        <v>159</v>
      </c>
      <c r="AB78" s="29">
        <v>198</v>
      </c>
      <c r="AC78" s="34">
        <f>Z78/R78</f>
        <v>1.1454545454545455</v>
      </c>
      <c r="AD78" s="34">
        <f>AA78/Z78</f>
        <v>1.2619047619047619</v>
      </c>
      <c r="AE78" s="34">
        <f>AB78/AA78</f>
        <v>1.2452830188679245</v>
      </c>
      <c r="AF78" s="35">
        <f>AB78/R78</f>
        <v>1.8</v>
      </c>
      <c r="AG78" s="29">
        <f>0.6*Z78+0.4*AA78</f>
        <v>139.19999999999999</v>
      </c>
      <c r="AH78" s="54">
        <v>521</v>
      </c>
      <c r="AI78" s="59">
        <f>AH78/AG78</f>
        <v>3.7428160919540234</v>
      </c>
      <c r="AJ78" s="61">
        <f>AI78/AI$488</f>
        <v>0.79536461213523424</v>
      </c>
    </row>
    <row r="79" spans="1:36" ht="15" customHeight="1" x14ac:dyDescent="0.2">
      <c r="A79" s="27" t="s">
        <v>343</v>
      </c>
      <c r="B79" s="27"/>
      <c r="C79" s="27" t="s">
        <v>324</v>
      </c>
      <c r="D79" s="27">
        <v>2</v>
      </c>
      <c r="E79" s="27"/>
      <c r="F79" s="27"/>
      <c r="G79" s="27" t="s">
        <v>333</v>
      </c>
      <c r="H79" s="27">
        <v>22</v>
      </c>
      <c r="I79" s="27" t="s">
        <v>621</v>
      </c>
      <c r="J79" s="27">
        <v>7</v>
      </c>
      <c r="K79" s="27">
        <v>2</v>
      </c>
      <c r="L79" s="27">
        <v>12</v>
      </c>
      <c r="M79" s="29">
        <v>70</v>
      </c>
      <c r="N79" s="30">
        <v>94</v>
      </c>
      <c r="O79" s="30">
        <v>286</v>
      </c>
      <c r="P79" s="30">
        <v>131</v>
      </c>
      <c r="Q79" s="30">
        <v>11</v>
      </c>
      <c r="R79" s="30">
        <v>428</v>
      </c>
      <c r="S79" s="31">
        <f>R79/N79</f>
        <v>4.5531914893617023</v>
      </c>
      <c r="T79" s="32">
        <f>O79/R79</f>
        <v>0.66822429906542058</v>
      </c>
      <c r="U79" s="32">
        <f>P79/R79</f>
        <v>0.30607476635514019</v>
      </c>
      <c r="V79" s="32">
        <f>Q79/R79</f>
        <v>2.5700934579439252E-2</v>
      </c>
      <c r="W79" s="31">
        <f>P79/O79</f>
        <v>0.45804195804195802</v>
      </c>
      <c r="X79" s="31">
        <f>Q79/(O79+P79)</f>
        <v>2.6378896882494004E-2</v>
      </c>
      <c r="Y79" s="65">
        <f>R79/R$488</f>
        <v>1.2433222267087692E-3</v>
      </c>
      <c r="Z79" s="29">
        <v>589</v>
      </c>
      <c r="AA79" s="29">
        <v>537</v>
      </c>
      <c r="AB79" s="38">
        <v>499</v>
      </c>
      <c r="AC79" s="34">
        <f>Z79/R79</f>
        <v>1.3761682242990654</v>
      </c>
      <c r="AD79" s="34">
        <f>AA79/Z79</f>
        <v>0.9117147707979627</v>
      </c>
      <c r="AE79" s="34">
        <f>AB79/AA79</f>
        <v>0.92923649906890127</v>
      </c>
      <c r="AF79" s="35">
        <f>AB79/R79</f>
        <v>1.1658878504672898</v>
      </c>
      <c r="AG79" s="29">
        <f>0.6*Z79+0.4*AA79</f>
        <v>568.20000000000005</v>
      </c>
      <c r="AH79" s="54">
        <v>2439</v>
      </c>
      <c r="AI79" s="59">
        <f>AH79/AG79</f>
        <v>4.2925026399155222</v>
      </c>
      <c r="AJ79" s="61">
        <f>AI79/AI$488</f>
        <v>0.91217538169327106</v>
      </c>
    </row>
    <row r="80" spans="1:36" ht="15" customHeight="1" x14ac:dyDescent="0.2">
      <c r="A80" s="27" t="s">
        <v>343</v>
      </c>
      <c r="B80" s="27"/>
      <c r="C80" s="27" t="s">
        <v>328</v>
      </c>
      <c r="D80" s="27">
        <v>13</v>
      </c>
      <c r="E80" s="27"/>
      <c r="F80" s="27"/>
      <c r="G80" s="27" t="s">
        <v>333</v>
      </c>
      <c r="H80" s="27">
        <v>22</v>
      </c>
      <c r="I80" s="27" t="s">
        <v>621</v>
      </c>
      <c r="J80" s="27">
        <v>7</v>
      </c>
      <c r="K80" s="27">
        <v>2</v>
      </c>
      <c r="L80" s="27">
        <v>12</v>
      </c>
      <c r="M80" s="30">
        <v>69</v>
      </c>
      <c r="N80" s="30">
        <v>94</v>
      </c>
      <c r="O80" s="30">
        <v>285</v>
      </c>
      <c r="P80" s="30">
        <v>130</v>
      </c>
      <c r="Q80" s="30">
        <v>10</v>
      </c>
      <c r="R80" s="30">
        <v>425</v>
      </c>
      <c r="S80" s="31">
        <f>R80/N80</f>
        <v>4.5212765957446805</v>
      </c>
      <c r="T80" s="32">
        <f>O80/R80</f>
        <v>0.6705882352941176</v>
      </c>
      <c r="U80" s="32">
        <f>P80/R80</f>
        <v>0.30588235294117649</v>
      </c>
      <c r="V80" s="32">
        <f>Q80/R80</f>
        <v>2.3529411764705882E-2</v>
      </c>
      <c r="W80" s="31">
        <f>P80/O80</f>
        <v>0.45614035087719296</v>
      </c>
      <c r="X80" s="31">
        <f>Q80/(O80+P80)</f>
        <v>2.4096385542168676E-2</v>
      </c>
      <c r="Y80" s="65">
        <f>R80/R$488</f>
        <v>1.2346073512879132E-3</v>
      </c>
      <c r="Z80" s="27">
        <v>588</v>
      </c>
      <c r="AA80" s="27">
        <v>536</v>
      </c>
      <c r="AB80" s="30">
        <v>500</v>
      </c>
      <c r="AC80" s="34">
        <f>Z80/R80</f>
        <v>1.3835294117647059</v>
      </c>
      <c r="AD80" s="34">
        <f>AA80/Z80</f>
        <v>0.91156462585034015</v>
      </c>
      <c r="AE80" s="34">
        <f>AB80/AA80</f>
        <v>0.93283582089552242</v>
      </c>
      <c r="AF80" s="35">
        <f>AB80/R80</f>
        <v>1.1764705882352942</v>
      </c>
      <c r="AG80" s="29">
        <f>0.6*Z80+0.4*AA80</f>
        <v>567.20000000000005</v>
      </c>
      <c r="AH80" s="54">
        <v>2439</v>
      </c>
      <c r="AI80" s="59">
        <f>AH80/AG80</f>
        <v>4.3000705218617767</v>
      </c>
      <c r="AJ80" s="61">
        <f>AI80/AI$488</f>
        <v>0.9137835893478784</v>
      </c>
    </row>
    <row r="81" spans="1:36" ht="15" customHeight="1" x14ac:dyDescent="0.2">
      <c r="A81" s="27" t="s">
        <v>108</v>
      </c>
      <c r="B81" s="27"/>
      <c r="C81" s="27" t="s">
        <v>118</v>
      </c>
      <c r="D81" s="28">
        <v>19</v>
      </c>
      <c r="E81" s="27"/>
      <c r="F81" s="27"/>
      <c r="G81" s="27" t="s">
        <v>69</v>
      </c>
      <c r="H81" s="27">
        <v>5</v>
      </c>
      <c r="I81" s="27" t="s">
        <v>620</v>
      </c>
      <c r="J81" s="27">
        <v>10</v>
      </c>
      <c r="K81" s="27">
        <v>2</v>
      </c>
      <c r="L81" s="27">
        <v>7</v>
      </c>
      <c r="M81" s="29">
        <v>142</v>
      </c>
      <c r="N81" s="30">
        <v>142</v>
      </c>
      <c r="O81" s="30">
        <v>330</v>
      </c>
      <c r="P81" s="30">
        <v>370</v>
      </c>
      <c r="Q81" s="30">
        <v>55</v>
      </c>
      <c r="R81" s="30">
        <v>755</v>
      </c>
      <c r="S81" s="31">
        <f>R81/N81</f>
        <v>5.316901408450704</v>
      </c>
      <c r="T81" s="32">
        <f>O81/R81</f>
        <v>0.4370860927152318</v>
      </c>
      <c r="U81" s="32">
        <f>P81/R81</f>
        <v>0.49006622516556292</v>
      </c>
      <c r="V81" s="32">
        <f>Q81/R81</f>
        <v>7.2847682119205295E-2</v>
      </c>
      <c r="W81" s="31">
        <f>P81/O81</f>
        <v>1.1212121212121211</v>
      </c>
      <c r="X81" s="31">
        <f>Q81/(O81+P81)</f>
        <v>7.857142857142857E-2</v>
      </c>
      <c r="Y81" s="65">
        <f>R81/R$488</f>
        <v>2.193243647582058E-3</v>
      </c>
      <c r="Z81" s="33">
        <v>825</v>
      </c>
      <c r="AA81" s="33">
        <v>939</v>
      </c>
      <c r="AB81" s="29">
        <v>987</v>
      </c>
      <c r="AC81" s="34">
        <f>Z81/R81</f>
        <v>1.0927152317880795</v>
      </c>
      <c r="AD81" s="34">
        <f>AA81/Z81</f>
        <v>1.1381818181818182</v>
      </c>
      <c r="AE81" s="34">
        <f>AB81/AA81</f>
        <v>1.0511182108626198</v>
      </c>
      <c r="AF81" s="35">
        <f>AB81/R81</f>
        <v>1.3072847682119206</v>
      </c>
      <c r="AG81" s="29">
        <f>0.6*Z81+0.4*AA81</f>
        <v>870.6</v>
      </c>
      <c r="AH81" s="54">
        <v>3300</v>
      </c>
      <c r="AI81" s="59">
        <f>AH81/AG81</f>
        <v>3.7904893177119225</v>
      </c>
      <c r="AJ81" s="61">
        <f>AI81/AI$488</f>
        <v>0.80549537885809808</v>
      </c>
    </row>
    <row r="82" spans="1:36" ht="15" customHeight="1" x14ac:dyDescent="0.2">
      <c r="A82" s="27" t="s">
        <v>371</v>
      </c>
      <c r="B82" s="27"/>
      <c r="C82" s="27" t="s">
        <v>326</v>
      </c>
      <c r="D82" s="27">
        <v>5</v>
      </c>
      <c r="E82" s="27"/>
      <c r="F82" s="27"/>
      <c r="G82" s="27" t="s">
        <v>206</v>
      </c>
      <c r="H82" s="27">
        <v>16</v>
      </c>
      <c r="I82" s="27" t="s">
        <v>621</v>
      </c>
      <c r="J82" s="27">
        <v>7</v>
      </c>
      <c r="K82" s="27">
        <v>2</v>
      </c>
      <c r="L82" s="27">
        <v>13</v>
      </c>
      <c r="M82" s="29">
        <v>26</v>
      </c>
      <c r="N82" s="30">
        <v>27</v>
      </c>
      <c r="O82" s="30">
        <v>23</v>
      </c>
      <c r="P82" s="30">
        <v>13</v>
      </c>
      <c r="Q82" s="30">
        <v>89</v>
      </c>
      <c r="R82" s="30">
        <v>125</v>
      </c>
      <c r="S82" s="31">
        <f>R82/N82</f>
        <v>4.6296296296296298</v>
      </c>
      <c r="T82" s="32">
        <f>O82/R82</f>
        <v>0.184</v>
      </c>
      <c r="U82" s="32">
        <f>P82/R82</f>
        <v>0.104</v>
      </c>
      <c r="V82" s="32">
        <f>Q82/R82</f>
        <v>0.71199999999999997</v>
      </c>
      <c r="W82" s="31">
        <f>P82/O82</f>
        <v>0.56521739130434778</v>
      </c>
      <c r="X82" s="31">
        <f>Q82/(O82+P82)</f>
        <v>2.4722222222222223</v>
      </c>
      <c r="Y82" s="65">
        <f>R82/R$488</f>
        <v>3.6311980920232745E-4</v>
      </c>
      <c r="Z82" s="33">
        <v>137</v>
      </c>
      <c r="AA82" s="33">
        <v>144</v>
      </c>
      <c r="AB82" s="29">
        <v>142</v>
      </c>
      <c r="AC82" s="34">
        <f>Z82/R82</f>
        <v>1.0960000000000001</v>
      </c>
      <c r="AD82" s="34">
        <f>AA82/Z82</f>
        <v>1.051094890510949</v>
      </c>
      <c r="AE82" s="34">
        <f>AB82/AA82</f>
        <v>0.98611111111111116</v>
      </c>
      <c r="AF82" s="35">
        <f>AB82/R82</f>
        <v>1.1359999999999999</v>
      </c>
      <c r="AG82" s="29">
        <f>0.6*Z82+0.4*AA82</f>
        <v>139.80000000000001</v>
      </c>
      <c r="AH82" s="54">
        <v>856</v>
      </c>
      <c r="AI82" s="59">
        <f>AH82/AG82</f>
        <v>6.1230329041487837</v>
      </c>
      <c r="AJ82" s="61">
        <f>AI82/AI$488</f>
        <v>1.3011709822902509</v>
      </c>
    </row>
    <row r="83" spans="1:36" ht="15" customHeight="1" x14ac:dyDescent="0.2">
      <c r="A83" s="28" t="s">
        <v>201</v>
      </c>
      <c r="B83" s="28"/>
      <c r="C83" s="28" t="s">
        <v>122</v>
      </c>
      <c r="D83" s="28">
        <v>15</v>
      </c>
      <c r="E83" s="27"/>
      <c r="F83" s="27"/>
      <c r="G83" s="27" t="s">
        <v>201</v>
      </c>
      <c r="H83" s="27">
        <v>3</v>
      </c>
      <c r="I83" s="27" t="s">
        <v>621</v>
      </c>
      <c r="J83" s="27">
        <v>7</v>
      </c>
      <c r="K83" s="27">
        <v>2</v>
      </c>
      <c r="L83" s="27">
        <v>22</v>
      </c>
      <c r="M83" s="29">
        <v>31</v>
      </c>
      <c r="N83" s="30">
        <v>41</v>
      </c>
      <c r="O83" s="30">
        <v>213</v>
      </c>
      <c r="P83" s="30">
        <v>17</v>
      </c>
      <c r="Q83" s="30">
        <v>8</v>
      </c>
      <c r="R83" s="30">
        <v>238</v>
      </c>
      <c r="S83" s="31">
        <f>R83/N83</f>
        <v>5.8048780487804876</v>
      </c>
      <c r="T83" s="32">
        <f>O83/R83</f>
        <v>0.89495798319327735</v>
      </c>
      <c r="U83" s="32">
        <f>P83/R83</f>
        <v>7.1428571428571425E-2</v>
      </c>
      <c r="V83" s="32">
        <f>Q83/R83</f>
        <v>3.3613445378151259E-2</v>
      </c>
      <c r="W83" s="31">
        <f>P83/O83</f>
        <v>7.9812206572769953E-2</v>
      </c>
      <c r="X83" s="31">
        <f>Q83/(O83+P83)</f>
        <v>3.4782608695652174E-2</v>
      </c>
      <c r="Y83" s="65">
        <f>R83/R$488</f>
        <v>6.9138011672123143E-4</v>
      </c>
      <c r="Z83" s="33">
        <v>223</v>
      </c>
      <c r="AA83" s="33">
        <v>242</v>
      </c>
      <c r="AB83" s="29">
        <v>256</v>
      </c>
      <c r="AC83" s="34">
        <f>Z83/R83</f>
        <v>0.93697478991596639</v>
      </c>
      <c r="AD83" s="34">
        <f>AA83/Z83</f>
        <v>1.0852017937219731</v>
      </c>
      <c r="AE83" s="34">
        <f>AB83/AA83</f>
        <v>1.0578512396694215</v>
      </c>
      <c r="AF83" s="35">
        <f>AB83/R83</f>
        <v>1.0756302521008403</v>
      </c>
      <c r="AG83" s="29">
        <f>0.6*Z83+0.4*AA83</f>
        <v>230.6</v>
      </c>
      <c r="AH83" s="54">
        <v>2003</v>
      </c>
      <c r="AI83" s="59">
        <f>AH83/AG83</f>
        <v>8.6860364267129224</v>
      </c>
      <c r="AJ83" s="61">
        <f>AI83/AI$488</f>
        <v>1.8458203191913347</v>
      </c>
    </row>
    <row r="84" spans="1:36" ht="15" customHeight="1" x14ac:dyDescent="0.2">
      <c r="A84" s="28" t="s">
        <v>202</v>
      </c>
      <c r="B84" s="28"/>
      <c r="C84" s="28" t="s">
        <v>122</v>
      </c>
      <c r="D84" s="28">
        <v>15</v>
      </c>
      <c r="E84" s="27"/>
      <c r="F84" s="27"/>
      <c r="G84" s="27" t="s">
        <v>201</v>
      </c>
      <c r="H84" s="27">
        <v>3</v>
      </c>
      <c r="I84" s="27" t="s">
        <v>621</v>
      </c>
      <c r="J84" s="27">
        <v>7</v>
      </c>
      <c r="K84" s="27">
        <v>2</v>
      </c>
      <c r="L84" s="27">
        <v>23</v>
      </c>
      <c r="M84" s="29">
        <v>38</v>
      </c>
      <c r="N84" s="30">
        <v>38</v>
      </c>
      <c r="O84" s="30">
        <v>95</v>
      </c>
      <c r="P84" s="30">
        <v>7</v>
      </c>
      <c r="Q84" s="30">
        <v>124</v>
      </c>
      <c r="R84" s="30">
        <v>226</v>
      </c>
      <c r="S84" s="31">
        <f>R84/N84</f>
        <v>5.9473684210526319</v>
      </c>
      <c r="T84" s="32">
        <f>O84/R84</f>
        <v>0.42035398230088494</v>
      </c>
      <c r="U84" s="32">
        <f>P84/R84</f>
        <v>3.0973451327433628E-2</v>
      </c>
      <c r="V84" s="32">
        <f>Q84/R84</f>
        <v>0.54867256637168138</v>
      </c>
      <c r="W84" s="31">
        <f>P84/O84</f>
        <v>7.3684210526315783E-2</v>
      </c>
      <c r="X84" s="31">
        <f>Q84/(O84+P84)</f>
        <v>1.2156862745098038</v>
      </c>
      <c r="Y84" s="65">
        <f>R84/R$488</f>
        <v>6.5652061503780807E-4</v>
      </c>
      <c r="Z84" s="33">
        <v>228</v>
      </c>
      <c r="AA84" s="33">
        <v>236</v>
      </c>
      <c r="AB84" s="29">
        <v>312</v>
      </c>
      <c r="AC84" s="34">
        <f>Z84/R84</f>
        <v>1.0088495575221239</v>
      </c>
      <c r="AD84" s="34">
        <f>AA84/Z84</f>
        <v>1.0350877192982457</v>
      </c>
      <c r="AE84" s="34">
        <f>AB84/AA84</f>
        <v>1.3220338983050848</v>
      </c>
      <c r="AF84" s="35">
        <f>AB84/R84</f>
        <v>1.3805309734513274</v>
      </c>
      <c r="AG84" s="29">
        <f>0.6*Z84+0.4*AA84</f>
        <v>231.2</v>
      </c>
      <c r="AH84" s="54">
        <v>2491</v>
      </c>
      <c r="AI84" s="59">
        <f>AH84/AG84</f>
        <v>10.774221453287197</v>
      </c>
      <c r="AJ84" s="61">
        <f>AI84/AI$488</f>
        <v>2.2895686714810024</v>
      </c>
    </row>
    <row r="85" spans="1:36" ht="15" customHeight="1" x14ac:dyDescent="0.2">
      <c r="A85" s="27" t="s">
        <v>404</v>
      </c>
      <c r="B85" s="27"/>
      <c r="C85" s="27" t="s">
        <v>333</v>
      </c>
      <c r="D85" s="27">
        <v>29</v>
      </c>
      <c r="E85" s="27"/>
      <c r="F85" s="27"/>
      <c r="G85" s="27" t="s">
        <v>333</v>
      </c>
      <c r="H85" s="27">
        <v>22</v>
      </c>
      <c r="I85" s="27" t="s">
        <v>621</v>
      </c>
      <c r="J85" s="27">
        <v>7</v>
      </c>
      <c r="K85" s="27">
        <v>2</v>
      </c>
      <c r="L85" s="27">
        <v>24</v>
      </c>
      <c r="M85" s="29">
        <v>16</v>
      </c>
      <c r="N85" s="30">
        <v>16</v>
      </c>
      <c r="O85" s="30">
        <v>15</v>
      </c>
      <c r="P85" s="30">
        <v>6</v>
      </c>
      <c r="Q85" s="30">
        <v>49</v>
      </c>
      <c r="R85" s="30">
        <v>70</v>
      </c>
      <c r="S85" s="31">
        <f>R85/N85</f>
        <v>4.375</v>
      </c>
      <c r="T85" s="32">
        <f>O85/R85</f>
        <v>0.21428571428571427</v>
      </c>
      <c r="U85" s="32">
        <f>P85/R85</f>
        <v>8.5714285714285715E-2</v>
      </c>
      <c r="V85" s="32">
        <f>Q85/R85</f>
        <v>0.7</v>
      </c>
      <c r="W85" s="31">
        <f>P85/O85</f>
        <v>0.4</v>
      </c>
      <c r="X85" s="31">
        <f>Q85/(O85+P85)</f>
        <v>2.3333333333333335</v>
      </c>
      <c r="Y85" s="65">
        <f>R85/R$488</f>
        <v>2.0334709315330337E-4</v>
      </c>
      <c r="Z85" s="33">
        <v>71</v>
      </c>
      <c r="AA85" s="33">
        <v>93</v>
      </c>
      <c r="AB85" s="29">
        <v>91</v>
      </c>
      <c r="AC85" s="34">
        <f>Z85/R85</f>
        <v>1.0142857142857142</v>
      </c>
      <c r="AD85" s="34">
        <f>AA85/Z85</f>
        <v>1.3098591549295775</v>
      </c>
      <c r="AE85" s="34">
        <f>AB85/AA85</f>
        <v>0.978494623655914</v>
      </c>
      <c r="AF85" s="35">
        <f>AB85/R85</f>
        <v>1.3</v>
      </c>
      <c r="AG85" s="29">
        <f>0.6*Z85+0.4*AA85</f>
        <v>79.800000000000011</v>
      </c>
      <c r="AH85" s="54">
        <v>810</v>
      </c>
      <c r="AI85" s="59">
        <f>AH85/AG85</f>
        <v>10.150375939849622</v>
      </c>
      <c r="AJ85" s="61">
        <f>AI85/AI$488</f>
        <v>2.1569988009243817</v>
      </c>
    </row>
    <row r="86" spans="1:36" ht="15" customHeight="1" x14ac:dyDescent="0.2">
      <c r="A86" s="27" t="s">
        <v>1</v>
      </c>
      <c r="B86" s="27"/>
      <c r="C86" s="27" t="s">
        <v>116</v>
      </c>
      <c r="D86" s="27">
        <v>32</v>
      </c>
      <c r="E86" s="27" t="s">
        <v>420</v>
      </c>
      <c r="F86" s="27"/>
      <c r="G86" s="27" t="s">
        <v>50</v>
      </c>
      <c r="H86" s="27">
        <v>7</v>
      </c>
      <c r="I86" s="27" t="s">
        <v>622</v>
      </c>
      <c r="J86" s="27">
        <v>8</v>
      </c>
      <c r="K86" s="27">
        <v>5</v>
      </c>
      <c r="L86" s="27">
        <v>3</v>
      </c>
      <c r="M86" s="29">
        <v>236</v>
      </c>
      <c r="N86" s="30">
        <v>251</v>
      </c>
      <c r="O86" s="30">
        <v>543</v>
      </c>
      <c r="P86" s="30">
        <v>120</v>
      </c>
      <c r="Q86" s="30">
        <v>452</v>
      </c>
      <c r="R86" s="30">
        <v>1115</v>
      </c>
      <c r="S86" s="31">
        <f>R86/N86</f>
        <v>4.4422310756972108</v>
      </c>
      <c r="T86" s="32">
        <f>O86/R86</f>
        <v>0.48699551569506727</v>
      </c>
      <c r="U86" s="32">
        <f>P86/R86</f>
        <v>0.10762331838565023</v>
      </c>
      <c r="V86" s="32">
        <f>Q86/R86</f>
        <v>0.40538116591928253</v>
      </c>
      <c r="W86" s="31">
        <f>P86/O86</f>
        <v>0.22099447513812154</v>
      </c>
      <c r="X86" s="31">
        <f>Q86/(O86+P86)</f>
        <v>0.68174962292609353</v>
      </c>
      <c r="Y86" s="65">
        <f>R86/R$488</f>
        <v>3.2390286980847607E-3</v>
      </c>
      <c r="Z86" s="29">
        <v>1197</v>
      </c>
      <c r="AA86" s="29">
        <v>1503</v>
      </c>
      <c r="AB86" s="29">
        <v>1868</v>
      </c>
      <c r="AC86" s="34">
        <f>Z86/R86</f>
        <v>1.0735426008968609</v>
      </c>
      <c r="AD86" s="34">
        <f>AA86/Z86</f>
        <v>1.255639097744361</v>
      </c>
      <c r="AE86" s="34">
        <f>AB86/AA86</f>
        <v>1.2428476380572189</v>
      </c>
      <c r="AF86" s="35">
        <f>AB86/R86</f>
        <v>1.6753363228699552</v>
      </c>
      <c r="AG86" s="29">
        <f>0.6*Z86+0.4*AA86</f>
        <v>1319.4</v>
      </c>
      <c r="AH86" s="66">
        <v>5420</v>
      </c>
      <c r="AI86" s="59">
        <f>AH86/AG86</f>
        <v>4.1079278459906012</v>
      </c>
      <c r="AJ86" s="61">
        <f>AI86/AI$488</f>
        <v>0.87295243945584122</v>
      </c>
    </row>
    <row r="87" spans="1:36" ht="15" customHeight="1" x14ac:dyDescent="0.2">
      <c r="A87" s="27" t="s">
        <v>395</v>
      </c>
      <c r="B87" s="27"/>
      <c r="C87" s="27" t="s">
        <v>331</v>
      </c>
      <c r="D87" s="27">
        <v>24</v>
      </c>
      <c r="E87" s="27"/>
      <c r="F87" s="27"/>
      <c r="G87" s="27" t="s">
        <v>331</v>
      </c>
      <c r="H87" s="27">
        <v>17</v>
      </c>
      <c r="I87" s="27" t="s">
        <v>620</v>
      </c>
      <c r="J87" s="27">
        <v>10</v>
      </c>
      <c r="K87" s="27">
        <v>1</v>
      </c>
      <c r="L87" s="27">
        <v>18</v>
      </c>
      <c r="M87" s="29">
        <v>31</v>
      </c>
      <c r="N87" s="30">
        <v>32</v>
      </c>
      <c r="O87" s="30">
        <v>70</v>
      </c>
      <c r="P87" s="30">
        <v>1</v>
      </c>
      <c r="Q87" s="30">
        <v>87</v>
      </c>
      <c r="R87" s="30">
        <v>158</v>
      </c>
      <c r="S87" s="31">
        <f>R87/N87</f>
        <v>4.9375</v>
      </c>
      <c r="T87" s="32">
        <f>O87/R87</f>
        <v>0.44303797468354428</v>
      </c>
      <c r="U87" s="32">
        <f>P87/R87</f>
        <v>6.3291139240506328E-3</v>
      </c>
      <c r="V87" s="32">
        <f>Q87/R87</f>
        <v>0.55063291139240511</v>
      </c>
      <c r="W87" s="31">
        <f>P87/O87</f>
        <v>1.4285714285714285E-2</v>
      </c>
      <c r="X87" s="31">
        <f>Q87/(O87+P87)</f>
        <v>1.2253521126760563</v>
      </c>
      <c r="Y87" s="65">
        <f>R87/R$488</f>
        <v>4.5898343883174188E-4</v>
      </c>
      <c r="Z87" s="33">
        <v>181</v>
      </c>
      <c r="AA87" s="33">
        <v>240</v>
      </c>
      <c r="AB87" s="29">
        <v>240</v>
      </c>
      <c r="AC87" s="34">
        <f>Z87/R87</f>
        <v>1.1455696202531647</v>
      </c>
      <c r="AD87" s="34">
        <f>AA87/Z87</f>
        <v>1.3259668508287292</v>
      </c>
      <c r="AE87" s="34">
        <f>AB87/AA87</f>
        <v>1</v>
      </c>
      <c r="AF87" s="35">
        <f>AB87/R87</f>
        <v>1.518987341772152</v>
      </c>
      <c r="AG87" s="29">
        <f>0.6*Z87+0.4*AA87</f>
        <v>204.6</v>
      </c>
      <c r="AH87" s="54">
        <v>1471</v>
      </c>
      <c r="AI87" s="59">
        <f>AH87/AG87</f>
        <v>7.1896383186705766</v>
      </c>
      <c r="AJ87" s="61">
        <f>AI87/AI$488</f>
        <v>1.5278292473453128</v>
      </c>
    </row>
    <row r="88" spans="1:36" ht="15" customHeight="1" x14ac:dyDescent="0.2">
      <c r="A88" s="27" t="s">
        <v>494</v>
      </c>
      <c r="B88" s="27"/>
      <c r="C88" s="27" t="s">
        <v>438</v>
      </c>
      <c r="D88" s="27">
        <v>99</v>
      </c>
      <c r="E88" s="27"/>
      <c r="F88" s="27"/>
      <c r="G88" s="27" t="s">
        <v>598</v>
      </c>
      <c r="H88" s="27">
        <v>99</v>
      </c>
      <c r="I88" s="27" t="s">
        <v>618</v>
      </c>
      <c r="J88" s="27">
        <v>6</v>
      </c>
      <c r="K88" s="27" t="s">
        <v>442</v>
      </c>
      <c r="L88" s="27" t="s">
        <v>440</v>
      </c>
      <c r="M88" s="30"/>
      <c r="N88" s="30"/>
      <c r="O88" s="30"/>
      <c r="P88" s="30"/>
      <c r="Q88" s="30"/>
      <c r="R88" s="30">
        <v>1095</v>
      </c>
      <c r="S88" s="27"/>
      <c r="T88" s="27"/>
      <c r="U88" s="27"/>
      <c r="V88" s="27"/>
      <c r="W88" s="27"/>
      <c r="X88" s="31"/>
      <c r="Y88" s="65"/>
      <c r="Z88" s="30">
        <v>1151</v>
      </c>
      <c r="AA88" s="30">
        <v>1256</v>
      </c>
      <c r="AB88" s="30">
        <v>1357</v>
      </c>
      <c r="AC88" s="34">
        <f>Z88/R88</f>
        <v>1.0511415525114156</v>
      </c>
      <c r="AD88" s="34">
        <f>AA88/Z88</f>
        <v>1.0912250217202433</v>
      </c>
      <c r="AE88" s="34">
        <f>AB88/AA88</f>
        <v>1.0804140127388535</v>
      </c>
      <c r="AF88" s="35">
        <f>AB88/R88</f>
        <v>1.2392694063926941</v>
      </c>
      <c r="AG88" s="29">
        <f>0.6*Z88+0.4*AA88</f>
        <v>1193</v>
      </c>
      <c r="AH88" s="66">
        <v>6287</v>
      </c>
      <c r="AI88" s="59">
        <f>AH88/AG88</f>
        <v>5.2699077954735962</v>
      </c>
      <c r="AJ88" s="61">
        <f>AI88/AI$488</f>
        <v>1.119878205810277</v>
      </c>
    </row>
    <row r="89" spans="1:36" ht="15" customHeight="1" x14ac:dyDescent="0.2">
      <c r="A89" s="27" t="s">
        <v>396</v>
      </c>
      <c r="B89" s="27"/>
      <c r="C89" s="27" t="s">
        <v>331</v>
      </c>
      <c r="D89" s="27">
        <v>24</v>
      </c>
      <c r="E89" s="27"/>
      <c r="F89" s="27"/>
      <c r="G89" s="27" t="s">
        <v>331</v>
      </c>
      <c r="H89" s="27">
        <v>17</v>
      </c>
      <c r="I89" s="27" t="s">
        <v>620</v>
      </c>
      <c r="J89" s="27">
        <v>10</v>
      </c>
      <c r="K89" s="27">
        <v>1</v>
      </c>
      <c r="L89" s="27">
        <v>17</v>
      </c>
      <c r="M89" s="29">
        <v>42</v>
      </c>
      <c r="N89" s="30">
        <v>43</v>
      </c>
      <c r="O89" s="30">
        <v>98</v>
      </c>
      <c r="P89" s="30">
        <v>22</v>
      </c>
      <c r="Q89" s="30">
        <v>97</v>
      </c>
      <c r="R89" s="30">
        <v>217</v>
      </c>
      <c r="S89" s="31">
        <f>R89/N89</f>
        <v>5.0465116279069768</v>
      </c>
      <c r="T89" s="32">
        <f>O89/R89</f>
        <v>0.45161290322580644</v>
      </c>
      <c r="U89" s="32">
        <f>P89/R89</f>
        <v>0.10138248847926268</v>
      </c>
      <c r="V89" s="32">
        <f>Q89/R89</f>
        <v>0.44700460829493088</v>
      </c>
      <c r="W89" s="31">
        <f>P89/O89</f>
        <v>0.22448979591836735</v>
      </c>
      <c r="X89" s="31">
        <f>Q89/(O89+P89)</f>
        <v>0.80833333333333335</v>
      </c>
      <c r="Y89" s="65">
        <f>R89/R$488</f>
        <v>6.3037598877524047E-4</v>
      </c>
      <c r="Z89" s="30">
        <v>276</v>
      </c>
      <c r="AA89" s="30">
        <v>322</v>
      </c>
      <c r="AB89" s="29">
        <v>343</v>
      </c>
      <c r="AC89" s="34">
        <f>Z89/R89</f>
        <v>1.271889400921659</v>
      </c>
      <c r="AD89" s="34">
        <f>AA89/Z89</f>
        <v>1.1666666666666667</v>
      </c>
      <c r="AE89" s="34">
        <f>AB89/AA89</f>
        <v>1.0652173913043479</v>
      </c>
      <c r="AF89" s="35">
        <f>AB89/R89</f>
        <v>1.5806451612903225</v>
      </c>
      <c r="AG89" s="29">
        <f>0.6*Z89+0.4*AA89</f>
        <v>294.39999999999998</v>
      </c>
      <c r="AH89" s="54">
        <v>1369</v>
      </c>
      <c r="AI89" s="59">
        <f>AH89/AG89</f>
        <v>4.6501358695652177</v>
      </c>
      <c r="AJ89" s="61">
        <f>AI89/AI$488</f>
        <v>0.98817399022722607</v>
      </c>
    </row>
    <row r="90" spans="1:36" ht="15" customHeight="1" x14ac:dyDescent="0.2">
      <c r="A90" s="28" t="s">
        <v>84</v>
      </c>
      <c r="B90" s="28"/>
      <c r="C90" s="28" t="s">
        <v>112</v>
      </c>
      <c r="D90" s="28">
        <v>6</v>
      </c>
      <c r="E90" s="27"/>
      <c r="F90" s="27"/>
      <c r="G90" s="27" t="s">
        <v>287</v>
      </c>
      <c r="H90" s="27">
        <v>25</v>
      </c>
      <c r="I90" s="27" t="s">
        <v>624</v>
      </c>
      <c r="J90" s="27">
        <v>4</v>
      </c>
      <c r="K90" s="27">
        <v>4</v>
      </c>
      <c r="L90" s="27">
        <v>24</v>
      </c>
      <c r="M90" s="29">
        <v>103</v>
      </c>
      <c r="N90" s="30">
        <v>110</v>
      </c>
      <c r="O90" s="30">
        <v>168</v>
      </c>
      <c r="P90" s="30">
        <v>38</v>
      </c>
      <c r="Q90" s="30">
        <v>316</v>
      </c>
      <c r="R90" s="30">
        <v>522</v>
      </c>
      <c r="S90" s="31">
        <f>R90/N90</f>
        <v>4.7454545454545451</v>
      </c>
      <c r="T90" s="32">
        <f>O90/R90</f>
        <v>0.32183908045977011</v>
      </c>
      <c r="U90" s="32">
        <f>P90/R90</f>
        <v>7.2796934865900387E-2</v>
      </c>
      <c r="V90" s="32">
        <f>Q90/R90</f>
        <v>0.6053639846743295</v>
      </c>
      <c r="W90" s="31">
        <f>P90/O90</f>
        <v>0.22619047619047619</v>
      </c>
      <c r="X90" s="31">
        <f>Q90/(O90+P90)</f>
        <v>1.5339805825242718</v>
      </c>
      <c r="Y90" s="65">
        <f>R90/R$488</f>
        <v>1.5163883232289193E-3</v>
      </c>
      <c r="Z90" s="30">
        <v>528</v>
      </c>
      <c r="AA90" s="30">
        <v>618</v>
      </c>
      <c r="AB90" s="29">
        <v>644</v>
      </c>
      <c r="AC90" s="34">
        <f>Z90/R90</f>
        <v>1.0114942528735633</v>
      </c>
      <c r="AD90" s="34">
        <f>AA90/Z90</f>
        <v>1.1704545454545454</v>
      </c>
      <c r="AE90" s="34">
        <f>AB90/AA90</f>
        <v>1.0420711974110033</v>
      </c>
      <c r="AF90" s="35">
        <f>AB90/R90</f>
        <v>1.2337164750957854</v>
      </c>
      <c r="AG90" s="29">
        <f>0.6*Z90+0.4*AA90</f>
        <v>564</v>
      </c>
      <c r="AH90" s="54">
        <v>3857</v>
      </c>
      <c r="AI90" s="59">
        <f>AH90/AG90</f>
        <v>6.8386524822695032</v>
      </c>
      <c r="AJ90" s="61">
        <f>AI90/AI$488</f>
        <v>1.4532432386353957</v>
      </c>
    </row>
    <row r="91" spans="1:36" ht="15" customHeight="1" x14ac:dyDescent="0.2">
      <c r="A91" s="28" t="s">
        <v>238</v>
      </c>
      <c r="B91" s="28"/>
      <c r="C91" s="28" t="s">
        <v>118</v>
      </c>
      <c r="D91" s="28">
        <v>19</v>
      </c>
      <c r="E91" s="27"/>
      <c r="F91" s="27"/>
      <c r="G91" s="27" t="s">
        <v>69</v>
      </c>
      <c r="H91" s="27">
        <v>5</v>
      </c>
      <c r="I91" s="27" t="s">
        <v>621</v>
      </c>
      <c r="J91" s="27">
        <v>7</v>
      </c>
      <c r="K91" s="27">
        <v>2</v>
      </c>
      <c r="L91" s="27">
        <v>18</v>
      </c>
      <c r="M91" s="29">
        <v>144</v>
      </c>
      <c r="N91" s="30">
        <v>156</v>
      </c>
      <c r="O91" s="30">
        <v>616</v>
      </c>
      <c r="P91" s="30">
        <v>24</v>
      </c>
      <c r="Q91" s="30">
        <v>115</v>
      </c>
      <c r="R91" s="30">
        <v>755</v>
      </c>
      <c r="S91" s="31">
        <f>R91/N91</f>
        <v>4.8397435897435894</v>
      </c>
      <c r="T91" s="32">
        <f>O91/R91</f>
        <v>0.81589403973509933</v>
      </c>
      <c r="U91" s="32">
        <f>P91/R91</f>
        <v>3.1788079470198675E-2</v>
      </c>
      <c r="V91" s="32">
        <f>Q91/R91</f>
        <v>0.15231788079470199</v>
      </c>
      <c r="W91" s="31">
        <f>P91/O91</f>
        <v>3.896103896103896E-2</v>
      </c>
      <c r="X91" s="31">
        <f>Q91/(O91+P91)</f>
        <v>0.1796875</v>
      </c>
      <c r="Y91" s="65">
        <f>R91/R$488</f>
        <v>2.193243647582058E-3</v>
      </c>
      <c r="Z91" s="30">
        <v>705</v>
      </c>
      <c r="AA91" s="30">
        <v>792</v>
      </c>
      <c r="AB91" s="63">
        <v>865</v>
      </c>
      <c r="AC91" s="34">
        <f>Z91/R91</f>
        <v>0.93377483443708609</v>
      </c>
      <c r="AD91" s="34">
        <f>AA91/Z91</f>
        <v>1.123404255319149</v>
      </c>
      <c r="AE91" s="34">
        <f>AB91/AA91</f>
        <v>1.0921717171717171</v>
      </c>
      <c r="AF91" s="35">
        <f>AB91/R91</f>
        <v>1.1456953642384107</v>
      </c>
      <c r="AG91" s="29">
        <f>0.6*Z91+0.4*AA91</f>
        <v>739.8</v>
      </c>
      <c r="AH91" s="54">
        <v>3854</v>
      </c>
      <c r="AI91" s="59">
        <f>AH91/AG91</f>
        <v>5.2095160854284943</v>
      </c>
      <c r="AJ91" s="61">
        <f>AI91/AI$488</f>
        <v>1.107044706152235</v>
      </c>
    </row>
    <row r="92" spans="1:36" ht="15" customHeight="1" x14ac:dyDescent="0.2">
      <c r="A92" s="28" t="s">
        <v>297</v>
      </c>
      <c r="B92" s="28"/>
      <c r="C92" s="28" t="s">
        <v>119</v>
      </c>
      <c r="D92" s="28">
        <v>31</v>
      </c>
      <c r="E92" s="27"/>
      <c r="F92" s="27"/>
      <c r="G92" s="27" t="s">
        <v>332</v>
      </c>
      <c r="H92" s="27">
        <v>18</v>
      </c>
      <c r="I92" s="27" t="s">
        <v>620</v>
      </c>
      <c r="J92" s="27">
        <v>10</v>
      </c>
      <c r="K92" s="27">
        <v>3</v>
      </c>
      <c r="L92" s="27">
        <v>14</v>
      </c>
      <c r="M92" s="29">
        <v>19</v>
      </c>
      <c r="N92" s="30">
        <v>19</v>
      </c>
      <c r="O92" s="30">
        <v>45</v>
      </c>
      <c r="P92" s="30">
        <v>2</v>
      </c>
      <c r="Q92" s="30">
        <v>44</v>
      </c>
      <c r="R92" s="30">
        <v>91</v>
      </c>
      <c r="S92" s="31">
        <f>R92/N92</f>
        <v>4.7894736842105265</v>
      </c>
      <c r="T92" s="32">
        <f>O92/R92</f>
        <v>0.49450549450549453</v>
      </c>
      <c r="U92" s="32">
        <f>P92/R92</f>
        <v>2.197802197802198E-2</v>
      </c>
      <c r="V92" s="32">
        <f>Q92/R92</f>
        <v>0.48351648351648352</v>
      </c>
      <c r="W92" s="31">
        <f>P92/O92</f>
        <v>4.4444444444444446E-2</v>
      </c>
      <c r="X92" s="31">
        <f>Q92/(O92+P92)</f>
        <v>0.93617021276595747</v>
      </c>
      <c r="Y92" s="65">
        <f>R92/R$488</f>
        <v>2.6435122109929438E-4</v>
      </c>
      <c r="Z92" s="30">
        <v>78</v>
      </c>
      <c r="AA92" s="30">
        <v>96</v>
      </c>
      <c r="AB92" s="29">
        <v>90</v>
      </c>
      <c r="AC92" s="34">
        <f>Z92/R92</f>
        <v>0.8571428571428571</v>
      </c>
      <c r="AD92" s="34">
        <f>AA92/Z92</f>
        <v>1.2307692307692308</v>
      </c>
      <c r="AE92" s="34">
        <f>AB92/AA92</f>
        <v>0.9375</v>
      </c>
      <c r="AF92" s="35">
        <f>AB92/R92</f>
        <v>0.98901098901098905</v>
      </c>
      <c r="AG92" s="29">
        <f>0.6*Z92+0.4*AA92</f>
        <v>85.2</v>
      </c>
      <c r="AH92" s="54">
        <v>601</v>
      </c>
      <c r="AI92" s="59">
        <f>AH92/AG92</f>
        <v>7.0539906103286381</v>
      </c>
      <c r="AJ92" s="61">
        <f>AI92/AI$488</f>
        <v>1.4990035224681675</v>
      </c>
    </row>
    <row r="93" spans="1:36" ht="15" customHeight="1" x14ac:dyDescent="0.2">
      <c r="A93" s="27" t="s">
        <v>104</v>
      </c>
      <c r="B93" s="27"/>
      <c r="C93" s="27" t="s">
        <v>116</v>
      </c>
      <c r="D93" s="27">
        <v>32</v>
      </c>
      <c r="E93" s="27"/>
      <c r="F93" s="27"/>
      <c r="G93" s="27" t="s">
        <v>50</v>
      </c>
      <c r="H93" s="27">
        <v>7</v>
      </c>
      <c r="I93" s="27" t="s">
        <v>621</v>
      </c>
      <c r="J93" s="27">
        <v>7</v>
      </c>
      <c r="K93" s="27">
        <v>2</v>
      </c>
      <c r="L93" s="27">
        <v>28</v>
      </c>
      <c r="M93" s="29">
        <v>100</v>
      </c>
      <c r="N93" s="30">
        <v>128</v>
      </c>
      <c r="O93" s="30">
        <v>184</v>
      </c>
      <c r="P93" s="30">
        <v>35</v>
      </c>
      <c r="Q93" s="30">
        <v>385</v>
      </c>
      <c r="R93" s="30">
        <v>604</v>
      </c>
      <c r="S93" s="31">
        <f>R93/N93</f>
        <v>4.71875</v>
      </c>
      <c r="T93" s="32">
        <f>O93/R93</f>
        <v>0.30463576158940397</v>
      </c>
      <c r="U93" s="32">
        <f>P93/R93</f>
        <v>5.7947019867549666E-2</v>
      </c>
      <c r="V93" s="32">
        <f>Q93/R93</f>
        <v>0.63741721854304634</v>
      </c>
      <c r="W93" s="31">
        <f>P93/O93</f>
        <v>0.19021739130434784</v>
      </c>
      <c r="X93" s="31">
        <f>Q93/(O93+P93)</f>
        <v>1.7579908675799087</v>
      </c>
      <c r="Y93" s="65">
        <f>R93/R$488</f>
        <v>1.7545949180656462E-3</v>
      </c>
      <c r="Z93" s="30">
        <v>680</v>
      </c>
      <c r="AA93" s="30">
        <v>753</v>
      </c>
      <c r="AB93" s="29">
        <v>799</v>
      </c>
      <c r="AC93" s="34">
        <f>Z93/R93</f>
        <v>1.1258278145695364</v>
      </c>
      <c r="AD93" s="34">
        <f>AA93/Z93</f>
        <v>1.1073529411764707</v>
      </c>
      <c r="AE93" s="34">
        <f>AB93/AA93</f>
        <v>1.0610889774236387</v>
      </c>
      <c r="AF93" s="35">
        <f>AB93/R93</f>
        <v>1.3228476821192052</v>
      </c>
      <c r="AG93" s="29">
        <f>0.6*Z93+0.4*AA93</f>
        <v>709.2</v>
      </c>
      <c r="AH93" s="66">
        <v>3110</v>
      </c>
      <c r="AI93" s="59">
        <f>AH93/AG93</f>
        <v>4.385222786238014</v>
      </c>
      <c r="AJ93" s="61">
        <f>AI93/AI$488</f>
        <v>0.93187881392320193</v>
      </c>
    </row>
    <row r="94" spans="1:36" ht="15" customHeight="1" x14ac:dyDescent="0.2">
      <c r="A94" s="28" t="s">
        <v>290</v>
      </c>
      <c r="B94" s="28"/>
      <c r="C94" s="28" t="s">
        <v>124</v>
      </c>
      <c r="D94" s="28">
        <v>30</v>
      </c>
      <c r="E94" s="27"/>
      <c r="F94" s="27"/>
      <c r="G94" s="27" t="s">
        <v>201</v>
      </c>
      <c r="H94" s="27">
        <v>3</v>
      </c>
      <c r="I94" s="27" t="s">
        <v>621</v>
      </c>
      <c r="J94" s="27">
        <v>7</v>
      </c>
      <c r="K94" s="27">
        <v>2</v>
      </c>
      <c r="L94" s="27">
        <v>21</v>
      </c>
      <c r="M94" s="29">
        <v>173</v>
      </c>
      <c r="N94" s="30">
        <v>173</v>
      </c>
      <c r="O94" s="30">
        <v>561</v>
      </c>
      <c r="P94" s="30">
        <v>223</v>
      </c>
      <c r="Q94" s="30">
        <v>100</v>
      </c>
      <c r="R94" s="30">
        <v>884</v>
      </c>
      <c r="S94" s="31">
        <f>R94/N94</f>
        <v>5.1098265895953761</v>
      </c>
      <c r="T94" s="32">
        <f>O94/R94</f>
        <v>0.63461538461538458</v>
      </c>
      <c r="U94" s="32">
        <f>P94/R94</f>
        <v>0.25226244343891402</v>
      </c>
      <c r="V94" s="32">
        <f>Q94/R94</f>
        <v>0.11312217194570136</v>
      </c>
      <c r="W94" s="31">
        <f>P94/O94</f>
        <v>0.39750445632798576</v>
      </c>
      <c r="X94" s="31">
        <f>Q94/(O94+P94)</f>
        <v>0.12755102040816327</v>
      </c>
      <c r="Y94" s="65">
        <f>R94/R$488</f>
        <v>2.5679832906788597E-3</v>
      </c>
      <c r="Z94" s="30">
        <v>854</v>
      </c>
      <c r="AA94" s="30">
        <v>1002</v>
      </c>
      <c r="AB94" s="29">
        <v>1085</v>
      </c>
      <c r="AC94" s="34">
        <f>Z94/R94</f>
        <v>0.9660633484162896</v>
      </c>
      <c r="AD94" s="34">
        <f>AA94/Z94</f>
        <v>1.1733021077283372</v>
      </c>
      <c r="AE94" s="34">
        <f>AB94/AA94</f>
        <v>1.0828343313373254</v>
      </c>
      <c r="AF94" s="35">
        <f>AB94/R94</f>
        <v>1.2273755656108598</v>
      </c>
      <c r="AG94" s="29">
        <f>0.6*Z94+0.4*AA94</f>
        <v>913.2</v>
      </c>
      <c r="AH94" s="54">
        <v>5135</v>
      </c>
      <c r="AI94" s="59">
        <f>AH94/AG94</f>
        <v>5.6230836618484448</v>
      </c>
      <c r="AJ94" s="61">
        <f>AI94/AI$488</f>
        <v>1.194929605364377</v>
      </c>
    </row>
    <row r="95" spans="1:36" ht="15" customHeight="1" x14ac:dyDescent="0.2">
      <c r="A95" s="27" t="s">
        <v>496</v>
      </c>
      <c r="B95" s="27"/>
      <c r="C95" s="28" t="s">
        <v>332</v>
      </c>
      <c r="D95" s="27">
        <v>25</v>
      </c>
      <c r="E95" s="27"/>
      <c r="F95" s="27" t="s">
        <v>481</v>
      </c>
      <c r="G95" s="27" t="s">
        <v>350</v>
      </c>
      <c r="H95" s="27">
        <v>2</v>
      </c>
      <c r="I95" s="27" t="s">
        <v>620</v>
      </c>
      <c r="J95" s="27">
        <v>10</v>
      </c>
      <c r="K95" s="27">
        <v>1</v>
      </c>
      <c r="L95" s="27">
        <v>16</v>
      </c>
      <c r="M95" s="29">
        <v>281</v>
      </c>
      <c r="N95" s="30">
        <v>281</v>
      </c>
      <c r="O95" s="30">
        <v>274</v>
      </c>
      <c r="P95" s="30">
        <v>79</v>
      </c>
      <c r="Q95" s="40">
        <v>650</v>
      </c>
      <c r="R95" s="40">
        <v>1003</v>
      </c>
      <c r="S95" s="31">
        <f>R95/N95</f>
        <v>3.5693950177935942</v>
      </c>
      <c r="T95" s="32">
        <f>O95/R95</f>
        <v>0.2731804586241276</v>
      </c>
      <c r="U95" s="32">
        <f>P95/R95</f>
        <v>7.8763708873379856E-2</v>
      </c>
      <c r="V95" s="32">
        <f>Q95/R95</f>
        <v>0.64805583250249255</v>
      </c>
      <c r="W95" s="31">
        <f>P95/O95</f>
        <v>0.28832116788321166</v>
      </c>
      <c r="X95" s="31">
        <f>Q95/(O95+P95)</f>
        <v>1.8413597733711049</v>
      </c>
      <c r="Y95" s="65">
        <f>R95/R$488</f>
        <v>2.9136733490394756E-3</v>
      </c>
      <c r="Z95" s="30">
        <v>1572</v>
      </c>
      <c r="AA95" s="30">
        <v>1748</v>
      </c>
      <c r="AB95" s="29">
        <v>1897</v>
      </c>
      <c r="AC95" s="34">
        <f>Z95/R95</f>
        <v>1.5672981056829511</v>
      </c>
      <c r="AD95" s="34">
        <f>AA95/Z95</f>
        <v>1.1119592875318065</v>
      </c>
      <c r="AE95" s="34">
        <f>AB95/AA95</f>
        <v>1.0852402745995424</v>
      </c>
      <c r="AF95" s="35">
        <f>AB95/R95</f>
        <v>1.8913260219341974</v>
      </c>
      <c r="AG95" s="29">
        <f>0.6*Z95+0.4*AA95</f>
        <v>1642.4</v>
      </c>
      <c r="AH95" s="54">
        <v>6208</v>
      </c>
      <c r="AI95" s="59">
        <f>AH95/AG95</f>
        <v>3.7798343886994639</v>
      </c>
      <c r="AJ95" s="61">
        <f>AI95/AI$488</f>
        <v>0.80323116034638953</v>
      </c>
    </row>
    <row r="96" spans="1:36" ht="15" customHeight="1" x14ac:dyDescent="0.2">
      <c r="A96" s="27" t="s">
        <v>152</v>
      </c>
      <c r="B96" s="27"/>
      <c r="C96" s="28" t="s">
        <v>112</v>
      </c>
      <c r="D96" s="28">
        <v>6</v>
      </c>
      <c r="E96" s="27"/>
      <c r="F96" s="27"/>
      <c r="G96" s="27" t="s">
        <v>287</v>
      </c>
      <c r="H96" s="27">
        <v>25</v>
      </c>
      <c r="I96" s="27" t="s">
        <v>624</v>
      </c>
      <c r="J96" s="27">
        <v>4</v>
      </c>
      <c r="K96" s="27">
        <v>4</v>
      </c>
      <c r="L96" s="27">
        <v>23</v>
      </c>
      <c r="M96" s="29">
        <v>99</v>
      </c>
      <c r="N96" s="30">
        <v>99</v>
      </c>
      <c r="O96" s="30">
        <v>140</v>
      </c>
      <c r="P96" s="30">
        <v>36</v>
      </c>
      <c r="Q96" s="30">
        <v>386</v>
      </c>
      <c r="R96" s="30">
        <v>562</v>
      </c>
      <c r="S96" s="31">
        <f>R96/N96</f>
        <v>5.6767676767676765</v>
      </c>
      <c r="T96" s="32">
        <f>O96/R96</f>
        <v>0.24911032028469751</v>
      </c>
      <c r="U96" s="32">
        <f>P96/R96</f>
        <v>6.4056939501779361E-2</v>
      </c>
      <c r="V96" s="32">
        <f>Q96/R96</f>
        <v>0.68683274021352314</v>
      </c>
      <c r="W96" s="31">
        <f>P96/O96</f>
        <v>0.25714285714285712</v>
      </c>
      <c r="X96" s="31">
        <f>Q96/(O96+P96)</f>
        <v>2.1931818181818183</v>
      </c>
      <c r="Y96" s="65">
        <f>R96/R$488</f>
        <v>1.6325866621736643E-3</v>
      </c>
      <c r="Z96" s="30">
        <v>568</v>
      </c>
      <c r="AA96" s="30">
        <v>637</v>
      </c>
      <c r="AB96" s="29">
        <v>601</v>
      </c>
      <c r="AC96" s="34">
        <f>Z96/R96</f>
        <v>1.01067615658363</v>
      </c>
      <c r="AD96" s="34">
        <f>AA96/Z96</f>
        <v>1.1214788732394365</v>
      </c>
      <c r="AE96" s="34">
        <f>AB96/AA96</f>
        <v>0.94348508634222916</v>
      </c>
      <c r="AF96" s="35">
        <f>AB96/R96</f>
        <v>1.0693950177935942</v>
      </c>
      <c r="AG96" s="29">
        <f>0.6*Z96+0.4*AA96</f>
        <v>595.6</v>
      </c>
      <c r="AH96" s="54">
        <v>2586</v>
      </c>
      <c r="AI96" s="59">
        <f>AH96/AG96</f>
        <v>4.3418401611820014</v>
      </c>
      <c r="AJ96" s="61">
        <f>AI96/AI$488</f>
        <v>0.92265981841197187</v>
      </c>
    </row>
    <row r="97" spans="1:36" ht="15" customHeight="1" x14ac:dyDescent="0.2">
      <c r="A97" s="27" t="s">
        <v>87</v>
      </c>
      <c r="B97" s="27"/>
      <c r="C97" s="27" t="s">
        <v>116</v>
      </c>
      <c r="D97" s="27">
        <v>32</v>
      </c>
      <c r="E97" s="27"/>
      <c r="F97" s="27"/>
      <c r="G97" s="27" t="s">
        <v>50</v>
      </c>
      <c r="H97" s="27">
        <v>7</v>
      </c>
      <c r="I97" s="27" t="s">
        <v>111</v>
      </c>
      <c r="J97" s="27">
        <v>5</v>
      </c>
      <c r="K97" s="27">
        <v>2</v>
      </c>
      <c r="L97" s="27">
        <v>27</v>
      </c>
      <c r="M97" s="29">
        <v>72</v>
      </c>
      <c r="N97" s="30">
        <v>99</v>
      </c>
      <c r="O97" s="30">
        <v>138</v>
      </c>
      <c r="P97" s="30">
        <v>22</v>
      </c>
      <c r="Q97" s="30">
        <v>262</v>
      </c>
      <c r="R97" s="30">
        <v>422</v>
      </c>
      <c r="S97" s="31">
        <f>R97/N97</f>
        <v>4.262626262626263</v>
      </c>
      <c r="T97" s="32">
        <f>O97/R97</f>
        <v>0.32701421800947866</v>
      </c>
      <c r="U97" s="32">
        <f>P97/R97</f>
        <v>5.2132701421800945E-2</v>
      </c>
      <c r="V97" s="32">
        <f>Q97/R97</f>
        <v>0.62085308056872035</v>
      </c>
      <c r="W97" s="31">
        <f>P97/O97</f>
        <v>0.15942028985507245</v>
      </c>
      <c r="X97" s="31">
        <f>Q97/(O97+P97)</f>
        <v>1.6375</v>
      </c>
      <c r="Y97" s="65">
        <f>R97/R$488</f>
        <v>1.2258924758670575E-3</v>
      </c>
      <c r="Z97" s="30">
        <v>460</v>
      </c>
      <c r="AA97" s="30">
        <v>531</v>
      </c>
      <c r="AB97" s="29">
        <v>601</v>
      </c>
      <c r="AC97" s="34">
        <f>Z97/R97</f>
        <v>1.0900473933649288</v>
      </c>
      <c r="AD97" s="34">
        <f>AA97/Z97</f>
        <v>1.1543478260869566</v>
      </c>
      <c r="AE97" s="34">
        <f>AB97/AA97</f>
        <v>1.1318267419962336</v>
      </c>
      <c r="AF97" s="35">
        <f>AB97/R97</f>
        <v>1.4241706161137442</v>
      </c>
      <c r="AG97" s="29">
        <f>0.6*Z97+0.4*AA97</f>
        <v>488.4</v>
      </c>
      <c r="AH97" s="66">
        <v>2915</v>
      </c>
      <c r="AI97" s="59">
        <f>AH97/AG97</f>
        <v>5.968468468468469</v>
      </c>
      <c r="AJ97" s="61">
        <f>AI97/AI$488</f>
        <v>1.2683253710140114</v>
      </c>
    </row>
    <row r="98" spans="1:36" ht="15" customHeight="1" x14ac:dyDescent="0.2">
      <c r="A98" s="28" t="s">
        <v>76</v>
      </c>
      <c r="B98" s="28"/>
      <c r="C98" s="27" t="s">
        <v>35</v>
      </c>
      <c r="D98" s="27">
        <v>11</v>
      </c>
      <c r="E98" s="27" t="s">
        <v>420</v>
      </c>
      <c r="F98" s="27"/>
      <c r="G98" s="27" t="s">
        <v>106</v>
      </c>
      <c r="H98" s="27">
        <v>12</v>
      </c>
      <c r="I98" s="27" t="s">
        <v>111</v>
      </c>
      <c r="J98" s="27">
        <v>5</v>
      </c>
      <c r="K98" s="27">
        <v>2</v>
      </c>
      <c r="L98" s="27">
        <v>26</v>
      </c>
      <c r="M98" s="29">
        <v>360</v>
      </c>
      <c r="N98" s="30">
        <v>412</v>
      </c>
      <c r="O98" s="30">
        <v>308</v>
      </c>
      <c r="P98" s="30">
        <v>570</v>
      </c>
      <c r="Q98" s="30">
        <v>908</v>
      </c>
      <c r="R98" s="30">
        <v>1786</v>
      </c>
      <c r="S98" s="31">
        <f>R98/N98</f>
        <v>4.3349514563106792</v>
      </c>
      <c r="T98" s="32">
        <f>O98/R98</f>
        <v>0.17245240761478164</v>
      </c>
      <c r="U98" s="32">
        <f>P98/R98</f>
        <v>0.31914893617021278</v>
      </c>
      <c r="V98" s="32">
        <f>Q98/R98</f>
        <v>0.50839865621500557</v>
      </c>
      <c r="W98" s="31">
        <f>P98/O98</f>
        <v>1.8506493506493507</v>
      </c>
      <c r="X98" s="31">
        <f>Q98/(O98+P98)</f>
        <v>1.0341685649202734</v>
      </c>
      <c r="Y98" s="65">
        <f>R98/R$488</f>
        <v>5.1882558338828544E-3</v>
      </c>
      <c r="Z98" s="30">
        <v>1832</v>
      </c>
      <c r="AA98" s="30">
        <v>2053</v>
      </c>
      <c r="AB98" s="29">
        <v>2278</v>
      </c>
      <c r="AC98" s="34">
        <f>Z98/R98</f>
        <v>1.0257558790593504</v>
      </c>
      <c r="AD98" s="34">
        <f>AA98/Z98</f>
        <v>1.1206331877729259</v>
      </c>
      <c r="AE98" s="34">
        <f>AB98/AA98</f>
        <v>1.1095957135898684</v>
      </c>
      <c r="AF98" s="35">
        <f>AB98/R98</f>
        <v>1.2754759238521836</v>
      </c>
      <c r="AG98" s="29">
        <f>0.6*Z98+0.4*AA98</f>
        <v>1920.4</v>
      </c>
      <c r="AH98" s="54">
        <v>8988</v>
      </c>
      <c r="AI98" s="59">
        <f>AH98/AG98</f>
        <v>4.6802749427202661</v>
      </c>
      <c r="AJ98" s="61">
        <f>AI98/AI$488</f>
        <v>0.99457867366374664</v>
      </c>
    </row>
    <row r="99" spans="1:36" ht="15" customHeight="1" x14ac:dyDescent="0.2">
      <c r="A99" s="28" t="s">
        <v>69</v>
      </c>
      <c r="B99" s="28"/>
      <c r="C99" s="28" t="s">
        <v>119</v>
      </c>
      <c r="D99" s="28">
        <v>31</v>
      </c>
      <c r="E99" s="27" t="s">
        <v>420</v>
      </c>
      <c r="F99" s="27"/>
      <c r="G99" s="27" t="s">
        <v>69</v>
      </c>
      <c r="H99" s="27">
        <v>5</v>
      </c>
      <c r="I99" s="27" t="s">
        <v>620</v>
      </c>
      <c r="J99" s="27">
        <v>10</v>
      </c>
      <c r="K99" s="27">
        <v>2</v>
      </c>
      <c r="L99" s="27">
        <v>17</v>
      </c>
      <c r="M99" s="29">
        <v>270</v>
      </c>
      <c r="N99" s="30">
        <v>276</v>
      </c>
      <c r="O99" s="30">
        <v>350</v>
      </c>
      <c r="P99" s="30">
        <v>169</v>
      </c>
      <c r="Q99" s="30">
        <v>814</v>
      </c>
      <c r="R99" s="30">
        <v>1333</v>
      </c>
      <c r="S99" s="31">
        <f>R99/N99</f>
        <v>4.8297101449275361</v>
      </c>
      <c r="T99" s="32">
        <f>O99/R99</f>
        <v>0.2625656414103526</v>
      </c>
      <c r="U99" s="32">
        <f>P99/R99</f>
        <v>0.12678169542385595</v>
      </c>
      <c r="V99" s="32">
        <f>Q99/R99</f>
        <v>0.61065266316579148</v>
      </c>
      <c r="W99" s="31">
        <f>P99/O99</f>
        <v>0.48285714285714287</v>
      </c>
      <c r="X99" s="31">
        <f>Q99/(O99+P99)</f>
        <v>1.5684007707129095</v>
      </c>
      <c r="Y99" s="65">
        <f>R99/R$488</f>
        <v>3.8723096453336199E-3</v>
      </c>
      <c r="Z99" s="30">
        <v>1340</v>
      </c>
      <c r="AA99" s="30">
        <v>1506</v>
      </c>
      <c r="AB99" s="29">
        <v>1573</v>
      </c>
      <c r="AC99" s="34">
        <f>Z99/R99</f>
        <v>1.005251312828207</v>
      </c>
      <c r="AD99" s="34">
        <f>AA99/Z99</f>
        <v>1.1238805970149253</v>
      </c>
      <c r="AE99" s="34">
        <f>AB99/AA99</f>
        <v>1.0444887118193891</v>
      </c>
      <c r="AF99" s="35">
        <f>AB99/R99</f>
        <v>1.1800450112528131</v>
      </c>
      <c r="AG99" s="29">
        <f>0.6*Z99+0.4*AA99</f>
        <v>1406.4</v>
      </c>
      <c r="AH99" s="54">
        <v>6247</v>
      </c>
      <c r="AI99" s="59">
        <f>AH99/AG99</f>
        <v>4.4418373151308304</v>
      </c>
      <c r="AJ99" s="61">
        <f>AI99/AI$488</f>
        <v>0.9439096462451142</v>
      </c>
    </row>
    <row r="100" spans="1:36" ht="15" customHeight="1" x14ac:dyDescent="0.2">
      <c r="A100" s="28" t="s">
        <v>626</v>
      </c>
      <c r="B100" s="28">
        <v>5</v>
      </c>
      <c r="C100" s="28" t="s">
        <v>114</v>
      </c>
      <c r="D100" s="27">
        <v>17</v>
      </c>
      <c r="E100" s="27"/>
      <c r="F100" s="27"/>
      <c r="G100" s="27" t="s">
        <v>219</v>
      </c>
      <c r="H100" s="27">
        <v>6</v>
      </c>
      <c r="I100" s="27" t="s">
        <v>627</v>
      </c>
      <c r="J100" s="27">
        <v>99</v>
      </c>
      <c r="K100" s="27">
        <v>7</v>
      </c>
      <c r="L100" s="27">
        <v>10</v>
      </c>
      <c r="M100" s="29">
        <v>112</v>
      </c>
      <c r="N100" s="30">
        <v>196</v>
      </c>
      <c r="O100" s="30">
        <v>290</v>
      </c>
      <c r="P100" s="30">
        <v>251</v>
      </c>
      <c r="Q100" s="30">
        <v>189</v>
      </c>
      <c r="R100" s="30">
        <v>730</v>
      </c>
      <c r="S100" s="31">
        <f>R100/N100</f>
        <v>3.7244897959183674</v>
      </c>
      <c r="T100" s="32">
        <f>O100/R100</f>
        <v>0.39726027397260272</v>
      </c>
      <c r="U100" s="32">
        <f>P100/R100</f>
        <v>0.34383561643835614</v>
      </c>
      <c r="V100" s="32">
        <f>Q100/R100</f>
        <v>0.25890410958904109</v>
      </c>
      <c r="W100" s="31">
        <f>P100/O100</f>
        <v>0.8655172413793103</v>
      </c>
      <c r="X100" s="31">
        <f>Q100/(O100+P100)</f>
        <v>0.34935304990757854</v>
      </c>
      <c r="Y100" s="65">
        <f>R100/R$488</f>
        <v>2.1206196857415922E-3</v>
      </c>
      <c r="Z100" s="30">
        <v>741</v>
      </c>
      <c r="AA100" s="30">
        <v>862</v>
      </c>
      <c r="AB100" s="29">
        <v>977</v>
      </c>
      <c r="AC100" s="34">
        <f>Z100/R100</f>
        <v>1.015068493150685</v>
      </c>
      <c r="AD100" s="34">
        <f>AA100/Z100</f>
        <v>1.1632928475033739</v>
      </c>
      <c r="AE100" s="34">
        <f>AB100/AA100</f>
        <v>1.1334106728538282</v>
      </c>
      <c r="AF100" s="35">
        <f>AB100/R100</f>
        <v>1.3383561643835618</v>
      </c>
      <c r="AG100" s="29">
        <f>0.6*Z100+0.4*AA100</f>
        <v>789.4</v>
      </c>
      <c r="AH100" s="54">
        <v>3677</v>
      </c>
      <c r="AI100" s="59">
        <f>AH100/AG100</f>
        <v>4.6579680770205218</v>
      </c>
      <c r="AJ100" s="61">
        <f>AI100/AI$488</f>
        <v>0.98983836819606141</v>
      </c>
    </row>
    <row r="101" spans="1:36" ht="15" customHeight="1" x14ac:dyDescent="0.2">
      <c r="A101" s="27" t="s">
        <v>276</v>
      </c>
      <c r="B101" s="27"/>
      <c r="C101" s="28" t="s">
        <v>110</v>
      </c>
      <c r="D101" s="27">
        <v>26</v>
      </c>
      <c r="E101" s="27"/>
      <c r="F101" s="27"/>
      <c r="G101" s="27" t="s">
        <v>287</v>
      </c>
      <c r="H101" s="27">
        <v>25</v>
      </c>
      <c r="I101" s="27" t="s">
        <v>624</v>
      </c>
      <c r="J101" s="27">
        <v>4</v>
      </c>
      <c r="K101" s="27">
        <v>4</v>
      </c>
      <c r="L101" s="27">
        <v>22</v>
      </c>
      <c r="M101" s="29">
        <v>50</v>
      </c>
      <c r="N101" s="30">
        <v>50</v>
      </c>
      <c r="O101" s="30">
        <v>112</v>
      </c>
      <c r="P101" s="30">
        <v>8</v>
      </c>
      <c r="Q101" s="30">
        <v>99</v>
      </c>
      <c r="R101" s="30">
        <v>219</v>
      </c>
      <c r="S101" s="31">
        <f>R101/N101</f>
        <v>4.38</v>
      </c>
      <c r="T101" s="32">
        <f>O101/R101</f>
        <v>0.51141552511415522</v>
      </c>
      <c r="U101" s="32">
        <f>P101/R101</f>
        <v>3.6529680365296802E-2</v>
      </c>
      <c r="V101" s="32">
        <f>Q101/R101</f>
        <v>0.45205479452054792</v>
      </c>
      <c r="W101" s="31">
        <f>P101/O101</f>
        <v>7.1428571428571425E-2</v>
      </c>
      <c r="X101" s="31">
        <f>Q101/(O101+P101)</f>
        <v>0.82499999999999996</v>
      </c>
      <c r="Y101" s="65">
        <f>R101/R$488</f>
        <v>6.3618590572247764E-4</v>
      </c>
      <c r="Z101" s="30">
        <v>289</v>
      </c>
      <c r="AA101" s="30">
        <v>316</v>
      </c>
      <c r="AB101" s="29">
        <v>326</v>
      </c>
      <c r="AC101" s="34">
        <f>Z101/R101</f>
        <v>1.3196347031963471</v>
      </c>
      <c r="AD101" s="34">
        <f>AA101/Z101</f>
        <v>1.0934256055363323</v>
      </c>
      <c r="AE101" s="34">
        <f>AB101/AA101</f>
        <v>1.0316455696202531</v>
      </c>
      <c r="AF101" s="35">
        <f>AB101/R101</f>
        <v>1.4885844748858448</v>
      </c>
      <c r="AG101" s="29">
        <f>0.6*Z101+0.4*AA101</f>
        <v>299.8</v>
      </c>
      <c r="AH101" s="54">
        <v>3331</v>
      </c>
      <c r="AI101" s="59">
        <f>AH101/AG101</f>
        <v>11.110740493662441</v>
      </c>
      <c r="AJ101" s="61">
        <f>AI101/AI$488</f>
        <v>2.3610804234475391</v>
      </c>
    </row>
    <row r="102" spans="1:36" ht="15" customHeight="1" x14ac:dyDescent="0.2">
      <c r="A102" s="27" t="s">
        <v>16</v>
      </c>
      <c r="B102" s="27"/>
      <c r="C102" s="27" t="s">
        <v>113</v>
      </c>
      <c r="D102" s="28">
        <v>16</v>
      </c>
      <c r="E102" s="27"/>
      <c r="F102" s="27"/>
      <c r="G102" s="27" t="s">
        <v>73</v>
      </c>
      <c r="H102" s="27">
        <v>11</v>
      </c>
      <c r="I102" s="27" t="s">
        <v>623</v>
      </c>
      <c r="J102" s="27">
        <v>3</v>
      </c>
      <c r="K102" s="27">
        <v>4</v>
      </c>
      <c r="L102" s="27">
        <v>26</v>
      </c>
      <c r="M102" s="29">
        <v>124</v>
      </c>
      <c r="N102" s="30">
        <v>130</v>
      </c>
      <c r="O102" s="30">
        <v>140</v>
      </c>
      <c r="P102" s="30">
        <v>81</v>
      </c>
      <c r="Q102" s="30">
        <v>442</v>
      </c>
      <c r="R102" s="30">
        <v>663</v>
      </c>
      <c r="S102" s="31">
        <f>R102/N102</f>
        <v>5.0999999999999996</v>
      </c>
      <c r="T102" s="32">
        <f>O102/R102</f>
        <v>0.21116138763197587</v>
      </c>
      <c r="U102" s="32">
        <f>P102/R102</f>
        <v>0.12217194570135746</v>
      </c>
      <c r="V102" s="32">
        <f>Q102/R102</f>
        <v>0.66666666666666663</v>
      </c>
      <c r="W102" s="31">
        <f>P102/O102</f>
        <v>0.57857142857142863</v>
      </c>
      <c r="X102" s="31">
        <f>Q102/(O102+P102)</f>
        <v>2</v>
      </c>
      <c r="Y102" s="65">
        <f>R102/R$488</f>
        <v>1.9259874680091448E-3</v>
      </c>
      <c r="Z102" s="30">
        <v>708</v>
      </c>
      <c r="AA102" s="30">
        <v>726</v>
      </c>
      <c r="AB102" s="29">
        <v>763</v>
      </c>
      <c r="AC102" s="34">
        <f>Z102/R102</f>
        <v>1.0678733031674208</v>
      </c>
      <c r="AD102" s="34">
        <f>AA102/Z102</f>
        <v>1.0254237288135593</v>
      </c>
      <c r="AE102" s="34">
        <f>AB102/AA102</f>
        <v>1.0509641873278237</v>
      </c>
      <c r="AF102" s="35">
        <f>AB102/R102</f>
        <v>1.1508295625942684</v>
      </c>
      <c r="AG102" s="29">
        <f>0.6*Z102+0.4*AA102</f>
        <v>715.2</v>
      </c>
      <c r="AH102" s="54">
        <v>4400</v>
      </c>
      <c r="AI102" s="59">
        <f>AH102/AG102</f>
        <v>6.1521252796420578</v>
      </c>
      <c r="AJ102" s="61">
        <f>AI102/AI$488</f>
        <v>1.3073532379453023</v>
      </c>
    </row>
    <row r="103" spans="1:36" ht="15" customHeight="1" x14ac:dyDescent="0.2">
      <c r="A103" s="28" t="s">
        <v>239</v>
      </c>
      <c r="B103" s="28"/>
      <c r="C103" s="28" t="s">
        <v>118</v>
      </c>
      <c r="D103" s="28">
        <v>19</v>
      </c>
      <c r="E103" s="27"/>
      <c r="F103" s="27"/>
      <c r="G103" s="27" t="s">
        <v>69</v>
      </c>
      <c r="H103" s="27">
        <v>5</v>
      </c>
      <c r="I103" s="27" t="s">
        <v>621</v>
      </c>
      <c r="J103" s="27">
        <v>7</v>
      </c>
      <c r="K103" s="27">
        <v>6</v>
      </c>
      <c r="L103" s="27">
        <v>13</v>
      </c>
      <c r="M103" s="29">
        <v>7</v>
      </c>
      <c r="N103" s="30">
        <v>7</v>
      </c>
      <c r="O103" s="30">
        <v>55</v>
      </c>
      <c r="P103" s="30">
        <v>0</v>
      </c>
      <c r="Q103" s="30">
        <v>4</v>
      </c>
      <c r="R103" s="30">
        <v>59</v>
      </c>
      <c r="S103" s="31">
        <f>R103/N103</f>
        <v>8.4285714285714288</v>
      </c>
      <c r="T103" s="32">
        <f>O103/R103</f>
        <v>0.93220338983050843</v>
      </c>
      <c r="U103" s="32">
        <f>P103/R103</f>
        <v>0</v>
      </c>
      <c r="V103" s="32">
        <f>Q103/R103</f>
        <v>6.7796610169491525E-2</v>
      </c>
      <c r="W103" s="31">
        <f>P103/O103</f>
        <v>0</v>
      </c>
      <c r="X103" s="31">
        <f>Q103/(O103+P103)</f>
        <v>7.2727272727272724E-2</v>
      </c>
      <c r="Y103" s="65">
        <f>R103/R$488</f>
        <v>1.7139254994349857E-4</v>
      </c>
      <c r="Z103" s="30">
        <v>41</v>
      </c>
      <c r="AA103" s="30">
        <v>56</v>
      </c>
      <c r="AB103" s="29">
        <v>58</v>
      </c>
      <c r="AC103" s="34">
        <f>Z103/R103</f>
        <v>0.69491525423728817</v>
      </c>
      <c r="AD103" s="34">
        <f>AA103/Z103</f>
        <v>1.3658536585365855</v>
      </c>
      <c r="AE103" s="34">
        <f>AB103/AA103</f>
        <v>1.0357142857142858</v>
      </c>
      <c r="AF103" s="35">
        <f>AB103/R103</f>
        <v>0.98305084745762716</v>
      </c>
      <c r="AG103" s="29">
        <f>0.6*Z103+0.4*AA103</f>
        <v>47</v>
      </c>
      <c r="AH103" s="54">
        <v>980</v>
      </c>
      <c r="AI103" s="59">
        <f>AH103/AG103</f>
        <v>20.851063829787233</v>
      </c>
      <c r="AJ103" s="61">
        <f>AI103/AI$488</f>
        <v>4.4309412720643646</v>
      </c>
    </row>
    <row r="104" spans="1:36" ht="15" customHeight="1" x14ac:dyDescent="0.2">
      <c r="A104" s="28" t="s">
        <v>132</v>
      </c>
      <c r="B104" s="28"/>
      <c r="C104" s="28" t="s">
        <v>117</v>
      </c>
      <c r="D104" s="28">
        <v>3</v>
      </c>
      <c r="E104" s="27"/>
      <c r="F104" s="27"/>
      <c r="G104" s="27" t="s">
        <v>138</v>
      </c>
      <c r="H104" s="27">
        <v>9</v>
      </c>
      <c r="I104" s="27" t="s">
        <v>619</v>
      </c>
      <c r="J104" s="27">
        <v>9</v>
      </c>
      <c r="K104" s="27">
        <v>3</v>
      </c>
      <c r="L104" s="27">
        <v>15</v>
      </c>
      <c r="M104" s="29">
        <v>66</v>
      </c>
      <c r="N104" s="30">
        <v>75</v>
      </c>
      <c r="O104" s="30">
        <v>93</v>
      </c>
      <c r="P104" s="30">
        <v>18</v>
      </c>
      <c r="Q104" s="30">
        <v>272</v>
      </c>
      <c r="R104" s="30">
        <v>383</v>
      </c>
      <c r="S104" s="31">
        <f>R104/N104</f>
        <v>5.1066666666666665</v>
      </c>
      <c r="T104" s="32">
        <f>O104/R104</f>
        <v>0.24281984334203655</v>
      </c>
      <c r="U104" s="32">
        <f>P104/R104</f>
        <v>4.6997389033942558E-2</v>
      </c>
      <c r="V104" s="32">
        <f>Q104/R104</f>
        <v>0.71018276762402088</v>
      </c>
      <c r="W104" s="31">
        <f>P104/O104</f>
        <v>0.19354838709677419</v>
      </c>
      <c r="X104" s="31">
        <f>Q104/(O104+P104)</f>
        <v>2.4504504504504503</v>
      </c>
      <c r="Y104" s="65">
        <f>R104/R$488</f>
        <v>1.1125990953959313E-3</v>
      </c>
      <c r="Z104" s="30">
        <v>519</v>
      </c>
      <c r="AA104" s="30">
        <v>534</v>
      </c>
      <c r="AB104" s="29">
        <v>570</v>
      </c>
      <c r="AC104" s="34">
        <f>Z104/R104</f>
        <v>1.3550913838120104</v>
      </c>
      <c r="AD104" s="34">
        <f>AA104/Z104</f>
        <v>1.0289017341040463</v>
      </c>
      <c r="AE104" s="34">
        <f>AB104/AA104</f>
        <v>1.0674157303370786</v>
      </c>
      <c r="AF104" s="35">
        <f>AB104/R104</f>
        <v>1.4882506527415145</v>
      </c>
      <c r="AG104" s="29">
        <f>0.6*Z104+0.4*AA104</f>
        <v>525</v>
      </c>
      <c r="AH104" s="54">
        <v>2005</v>
      </c>
      <c r="AI104" s="59">
        <f>AH104/AG104</f>
        <v>3.8190476190476192</v>
      </c>
      <c r="AJ104" s="61">
        <f>AI104/AI$488</f>
        <v>0.81156414144409228</v>
      </c>
    </row>
    <row r="105" spans="1:36" ht="15" customHeight="1" x14ac:dyDescent="0.2">
      <c r="A105" s="27" t="s">
        <v>344</v>
      </c>
      <c r="B105" s="27"/>
      <c r="C105" s="27" t="s">
        <v>324</v>
      </c>
      <c r="D105" s="27">
        <v>2</v>
      </c>
      <c r="E105" s="27"/>
      <c r="F105" s="27"/>
      <c r="G105" s="27" t="s">
        <v>333</v>
      </c>
      <c r="H105" s="27">
        <v>22</v>
      </c>
      <c r="I105" s="27" t="s">
        <v>621</v>
      </c>
      <c r="J105" s="27">
        <v>7</v>
      </c>
      <c r="K105" s="27">
        <v>2</v>
      </c>
      <c r="L105" s="27">
        <v>25</v>
      </c>
      <c r="M105" s="29">
        <v>29</v>
      </c>
      <c r="N105" s="30">
        <v>29</v>
      </c>
      <c r="O105" s="30">
        <v>106</v>
      </c>
      <c r="P105" s="30">
        <v>8</v>
      </c>
      <c r="Q105" s="30">
        <v>99</v>
      </c>
      <c r="R105" s="30">
        <v>213</v>
      </c>
      <c r="S105" s="31">
        <f>R105/N105</f>
        <v>7.3448275862068968</v>
      </c>
      <c r="T105" s="32">
        <f>O105/R105</f>
        <v>0.49765258215962443</v>
      </c>
      <c r="U105" s="32">
        <f>P105/R105</f>
        <v>3.7558685446009391E-2</v>
      </c>
      <c r="V105" s="32">
        <f>Q105/R105</f>
        <v>0.46478873239436619</v>
      </c>
      <c r="W105" s="31">
        <f>P105/O105</f>
        <v>7.5471698113207544E-2</v>
      </c>
      <c r="X105" s="31">
        <f>Q105/(O105+P105)</f>
        <v>0.86842105263157898</v>
      </c>
      <c r="Y105" s="65">
        <f>R105/R$488</f>
        <v>6.1875615488076602E-4</v>
      </c>
      <c r="Z105" s="30">
        <v>233</v>
      </c>
      <c r="AA105" s="30">
        <v>342</v>
      </c>
      <c r="AB105" s="29">
        <v>272</v>
      </c>
      <c r="AC105" s="34">
        <f>Z105/R105</f>
        <v>1.0938967136150235</v>
      </c>
      <c r="AD105" s="34">
        <f>AA105/Z105</f>
        <v>1.4678111587982832</v>
      </c>
      <c r="AE105" s="34">
        <f>AB105/AA105</f>
        <v>0.79532163742690054</v>
      </c>
      <c r="AF105" s="35">
        <f>AB105/R105</f>
        <v>1.2769953051643192</v>
      </c>
      <c r="AG105" s="29">
        <f>0.6*Z105+0.4*AA105</f>
        <v>276.60000000000002</v>
      </c>
      <c r="AH105" s="54">
        <v>1750</v>
      </c>
      <c r="AI105" s="59">
        <f>AH105/AG105</f>
        <v>6.3268257411424438</v>
      </c>
      <c r="AJ105" s="61">
        <f>AI105/AI$488</f>
        <v>1.344477841823063</v>
      </c>
    </row>
    <row r="106" spans="1:36" ht="15" customHeight="1" x14ac:dyDescent="0.2">
      <c r="A106" s="28" t="s">
        <v>217</v>
      </c>
      <c r="B106" s="28">
        <v>5</v>
      </c>
      <c r="C106" s="28" t="s">
        <v>114</v>
      </c>
      <c r="D106" s="27">
        <v>17</v>
      </c>
      <c r="E106" s="27"/>
      <c r="F106" s="27"/>
      <c r="G106" s="27" t="s">
        <v>219</v>
      </c>
      <c r="H106" s="27">
        <v>6</v>
      </c>
      <c r="I106" s="27" t="s">
        <v>621</v>
      </c>
      <c r="J106" s="27">
        <v>7</v>
      </c>
      <c r="K106" s="27">
        <v>7</v>
      </c>
      <c r="L106" s="27">
        <v>11</v>
      </c>
      <c r="M106" s="29">
        <v>113</v>
      </c>
      <c r="N106" s="30">
        <v>139</v>
      </c>
      <c r="O106" s="30">
        <v>286</v>
      </c>
      <c r="P106" s="30">
        <v>289</v>
      </c>
      <c r="Q106" s="30">
        <v>115</v>
      </c>
      <c r="R106" s="30">
        <v>690</v>
      </c>
      <c r="S106" s="31">
        <f>R106/N106</f>
        <v>4.9640287769784175</v>
      </c>
      <c r="T106" s="32">
        <f>O106/R106</f>
        <v>0.41449275362318838</v>
      </c>
      <c r="U106" s="32">
        <f>P106/R106</f>
        <v>0.41884057971014493</v>
      </c>
      <c r="V106" s="32">
        <f>Q106/R106</f>
        <v>0.16666666666666666</v>
      </c>
      <c r="W106" s="31">
        <f>P106/O106</f>
        <v>1.0104895104895104</v>
      </c>
      <c r="X106" s="31">
        <f>Q106/(O106+P106)</f>
        <v>0.2</v>
      </c>
      <c r="Y106" s="65">
        <f>R106/R$488</f>
        <v>2.0044213467968475E-3</v>
      </c>
      <c r="Z106" s="30">
        <v>698</v>
      </c>
      <c r="AA106" s="30">
        <v>822</v>
      </c>
      <c r="AB106" s="29">
        <v>767</v>
      </c>
      <c r="AC106" s="34">
        <f>Z106/R106</f>
        <v>1.0115942028985507</v>
      </c>
      <c r="AD106" s="34">
        <f>AA106/Z106</f>
        <v>1.177650429799427</v>
      </c>
      <c r="AE106" s="34">
        <f>AB106/AA106</f>
        <v>0.93309002433090027</v>
      </c>
      <c r="AF106" s="35">
        <f>AB106/R106</f>
        <v>1.1115942028985508</v>
      </c>
      <c r="AG106" s="29">
        <f>0.6*Z106+0.4*AA106</f>
        <v>747.6</v>
      </c>
      <c r="AH106" s="54">
        <v>3445</v>
      </c>
      <c r="AI106" s="59">
        <f>AH106/AG106</f>
        <v>4.6080791867308717</v>
      </c>
      <c r="AJ106" s="61">
        <f>AI106/AI$488</f>
        <v>0.97923676317454167</v>
      </c>
    </row>
    <row r="107" spans="1:36" ht="15" customHeight="1" x14ac:dyDescent="0.2">
      <c r="A107" s="28" t="s">
        <v>198</v>
      </c>
      <c r="B107" s="28"/>
      <c r="C107" s="28" t="s">
        <v>30</v>
      </c>
      <c r="D107" s="28">
        <v>14</v>
      </c>
      <c r="E107" s="27"/>
      <c r="F107" s="27"/>
      <c r="G107" s="27" t="s">
        <v>30</v>
      </c>
      <c r="H107" s="27">
        <v>8</v>
      </c>
      <c r="I107" s="27" t="s">
        <v>619</v>
      </c>
      <c r="J107" s="27">
        <v>9</v>
      </c>
      <c r="K107" s="27">
        <v>2</v>
      </c>
      <c r="L107" s="27">
        <v>16</v>
      </c>
      <c r="M107" s="29">
        <v>132</v>
      </c>
      <c r="N107" s="30">
        <v>158</v>
      </c>
      <c r="O107" s="30">
        <v>226</v>
      </c>
      <c r="P107" s="30">
        <v>133</v>
      </c>
      <c r="Q107" s="30">
        <v>355</v>
      </c>
      <c r="R107" s="30">
        <v>714</v>
      </c>
      <c r="S107" s="31">
        <f>R107/N107</f>
        <v>4.518987341772152</v>
      </c>
      <c r="T107" s="32">
        <f>O107/R107</f>
        <v>0.31652661064425769</v>
      </c>
      <c r="U107" s="32">
        <f>P107/R107</f>
        <v>0.18627450980392157</v>
      </c>
      <c r="V107" s="32">
        <f>Q107/R107</f>
        <v>0.49719887955182074</v>
      </c>
      <c r="W107" s="31">
        <f>P107/O107</f>
        <v>0.58849557522123896</v>
      </c>
      <c r="X107" s="31">
        <f>Q107/(O107+P107)</f>
        <v>0.9888579387186629</v>
      </c>
      <c r="Y107" s="65">
        <f>R107/R$488</f>
        <v>2.0741403501636944E-3</v>
      </c>
      <c r="Z107" s="30">
        <v>836</v>
      </c>
      <c r="AA107" s="30">
        <v>941</v>
      </c>
      <c r="AB107" s="29">
        <v>907</v>
      </c>
      <c r="AC107" s="34">
        <f>Z107/R107</f>
        <v>1.1708683473389356</v>
      </c>
      <c r="AD107" s="34">
        <f>AA107/Z107</f>
        <v>1.1255980861244019</v>
      </c>
      <c r="AE107" s="34">
        <f>AB107/AA107</f>
        <v>0.96386822529224225</v>
      </c>
      <c r="AF107" s="35">
        <f>AB107/R107</f>
        <v>1.2703081232492996</v>
      </c>
      <c r="AG107" s="29">
        <f>0.6*Z107+0.4*AA107</f>
        <v>878</v>
      </c>
      <c r="AH107" s="54">
        <v>2245</v>
      </c>
      <c r="AI107" s="59">
        <f>AH107/AG107</f>
        <v>2.5569476082004554</v>
      </c>
      <c r="AJ107" s="61">
        <f>AI107/AI$488</f>
        <v>0.54336242889901842</v>
      </c>
    </row>
    <row r="108" spans="1:36" ht="15" customHeight="1" x14ac:dyDescent="0.2">
      <c r="A108" s="27" t="s">
        <v>173</v>
      </c>
      <c r="B108" s="27"/>
      <c r="C108" s="28" t="s">
        <v>120</v>
      </c>
      <c r="D108" s="28">
        <v>9</v>
      </c>
      <c r="E108" s="27"/>
      <c r="F108" s="27"/>
      <c r="G108" s="27" t="s">
        <v>172</v>
      </c>
      <c r="H108" s="27">
        <v>1</v>
      </c>
      <c r="I108" s="27" t="s">
        <v>618</v>
      </c>
      <c r="J108" s="27">
        <v>6</v>
      </c>
      <c r="K108" s="27">
        <v>6</v>
      </c>
      <c r="L108" s="27">
        <v>29</v>
      </c>
      <c r="M108" s="29">
        <v>66</v>
      </c>
      <c r="N108" s="30">
        <v>66</v>
      </c>
      <c r="O108" s="30">
        <v>223</v>
      </c>
      <c r="P108" s="30">
        <v>58</v>
      </c>
      <c r="Q108" s="30">
        <v>67</v>
      </c>
      <c r="R108" s="30">
        <v>348</v>
      </c>
      <c r="S108" s="31">
        <f>R108/N108</f>
        <v>5.2727272727272725</v>
      </c>
      <c r="T108" s="32">
        <f>O108/R108</f>
        <v>0.64080459770114939</v>
      </c>
      <c r="U108" s="32">
        <f>P108/R108</f>
        <v>0.16666666666666666</v>
      </c>
      <c r="V108" s="32">
        <f>Q108/R108</f>
        <v>0.19252873563218389</v>
      </c>
      <c r="W108" s="31">
        <f>P108/O108</f>
        <v>0.26008968609865468</v>
      </c>
      <c r="X108" s="31">
        <f>Q108/(O108+P108)</f>
        <v>0.23843416370106763</v>
      </c>
      <c r="Y108" s="65">
        <f>R108/R$488</f>
        <v>1.0109255488192797E-3</v>
      </c>
      <c r="Z108" s="30">
        <v>325</v>
      </c>
      <c r="AA108" s="30">
        <v>383</v>
      </c>
      <c r="AB108" s="29">
        <v>426</v>
      </c>
      <c r="AC108" s="34">
        <f>Z108/R108</f>
        <v>0.93390804597701149</v>
      </c>
      <c r="AD108" s="34">
        <f>AA108/Z108</f>
        <v>1.1784615384615384</v>
      </c>
      <c r="AE108" s="34">
        <f>AB108/AA108</f>
        <v>1.1122715404699739</v>
      </c>
      <c r="AF108" s="35">
        <f>AB108/R108</f>
        <v>1.2241379310344827</v>
      </c>
      <c r="AG108" s="29">
        <f>0.6*Z108+0.4*AA108</f>
        <v>348.20000000000005</v>
      </c>
      <c r="AH108" s="54">
        <v>3666</v>
      </c>
      <c r="AI108" s="59">
        <f>AH108/AG108</f>
        <v>10.528431935669154</v>
      </c>
      <c r="AJ108" s="61">
        <f>AI108/AI$488</f>
        <v>2.2373373356247117</v>
      </c>
    </row>
    <row r="109" spans="1:36" ht="15" customHeight="1" x14ac:dyDescent="0.2">
      <c r="A109" s="27" t="s">
        <v>372</v>
      </c>
      <c r="B109" s="27"/>
      <c r="C109" s="27" t="s">
        <v>326</v>
      </c>
      <c r="D109" s="27">
        <v>5</v>
      </c>
      <c r="E109" s="27"/>
      <c r="F109" s="27"/>
      <c r="G109" s="27" t="s">
        <v>206</v>
      </c>
      <c r="H109" s="27">
        <v>16</v>
      </c>
      <c r="I109" s="27" t="s">
        <v>618</v>
      </c>
      <c r="J109" s="27">
        <v>6</v>
      </c>
      <c r="K109" s="27">
        <v>6</v>
      </c>
      <c r="L109" s="27">
        <v>16</v>
      </c>
      <c r="M109" s="29">
        <v>48</v>
      </c>
      <c r="N109" s="30">
        <v>60</v>
      </c>
      <c r="O109" s="30">
        <v>68</v>
      </c>
      <c r="P109" s="30">
        <v>6</v>
      </c>
      <c r="Q109" s="30">
        <v>183</v>
      </c>
      <c r="R109" s="30">
        <v>257</v>
      </c>
      <c r="S109" s="31">
        <f>R109/N109</f>
        <v>4.2833333333333332</v>
      </c>
      <c r="T109" s="32">
        <f>O109/R109</f>
        <v>0.26459143968871596</v>
      </c>
      <c r="U109" s="32">
        <f>P109/R109</f>
        <v>2.3346303501945526E-2</v>
      </c>
      <c r="V109" s="32">
        <f>Q109/R109</f>
        <v>0.71206225680933855</v>
      </c>
      <c r="W109" s="31">
        <f>P109/O109</f>
        <v>8.8235294117647065E-2</v>
      </c>
      <c r="X109" s="31">
        <f>Q109/(O109+P109)</f>
        <v>2.4729729729729728</v>
      </c>
      <c r="Y109" s="65">
        <f>R109/R$488</f>
        <v>7.4657432771998522E-4</v>
      </c>
      <c r="Z109" s="30">
        <v>266</v>
      </c>
      <c r="AA109" s="30">
        <v>297</v>
      </c>
      <c r="AB109" s="29">
        <v>331</v>
      </c>
      <c r="AC109" s="34">
        <f>Z109/R109</f>
        <v>1.0350194552529184</v>
      </c>
      <c r="AD109" s="34">
        <f>AA109/Z109</f>
        <v>1.1165413533834587</v>
      </c>
      <c r="AE109" s="34">
        <f>AB109/AA109</f>
        <v>1.1144781144781144</v>
      </c>
      <c r="AF109" s="35">
        <f>AB109/R109</f>
        <v>1.2879377431906616</v>
      </c>
      <c r="AG109" s="29">
        <f>0.6*Z109+0.4*AA109</f>
        <v>278.39999999999998</v>
      </c>
      <c r="AH109" s="54">
        <v>2952</v>
      </c>
      <c r="AI109" s="59">
        <f>AH109/AG109</f>
        <v>10.603448275862069</v>
      </c>
      <c r="AJ109" s="61">
        <f>AI109/AI$488</f>
        <v>2.2532786324598959</v>
      </c>
    </row>
    <row r="110" spans="1:36" ht="15" customHeight="1" x14ac:dyDescent="0.2">
      <c r="A110" s="27" t="s">
        <v>94</v>
      </c>
      <c r="B110" s="27"/>
      <c r="C110" s="27" t="s">
        <v>120</v>
      </c>
      <c r="D110" s="27">
        <v>9</v>
      </c>
      <c r="E110" s="27"/>
      <c r="F110" s="27"/>
      <c r="G110" s="27" t="s">
        <v>172</v>
      </c>
      <c r="H110" s="27">
        <v>1</v>
      </c>
      <c r="I110" s="27" t="s">
        <v>618</v>
      </c>
      <c r="J110" s="27">
        <v>6</v>
      </c>
      <c r="K110" s="27">
        <v>6</v>
      </c>
      <c r="L110" s="27">
        <v>18</v>
      </c>
      <c r="M110" s="29">
        <v>51</v>
      </c>
      <c r="N110" s="30">
        <v>51</v>
      </c>
      <c r="O110" s="30">
        <v>170</v>
      </c>
      <c r="P110" s="30">
        <v>73</v>
      </c>
      <c r="Q110" s="30">
        <v>6</v>
      </c>
      <c r="R110" s="30">
        <v>249</v>
      </c>
      <c r="S110" s="31">
        <f>R110/N110</f>
        <v>4.882352941176471</v>
      </c>
      <c r="T110" s="32">
        <f>O110/R110</f>
        <v>0.68273092369477917</v>
      </c>
      <c r="U110" s="32">
        <f>P110/R110</f>
        <v>0.29317269076305219</v>
      </c>
      <c r="V110" s="32">
        <f>Q110/R110</f>
        <v>2.4096385542168676E-2</v>
      </c>
      <c r="W110" s="31">
        <f>P110/O110</f>
        <v>0.42941176470588233</v>
      </c>
      <c r="X110" s="31">
        <f>Q110/(O110+P110)</f>
        <v>2.4691358024691357E-2</v>
      </c>
      <c r="Y110" s="65">
        <f>R110/R$488</f>
        <v>7.2333465993103631E-4</v>
      </c>
      <c r="Z110" s="30">
        <v>279</v>
      </c>
      <c r="AA110" s="30">
        <v>345</v>
      </c>
      <c r="AB110" s="29">
        <v>359</v>
      </c>
      <c r="AC110" s="34">
        <f>Z110/R110</f>
        <v>1.1204819277108433</v>
      </c>
      <c r="AD110" s="34">
        <f>AA110/Z110</f>
        <v>1.2365591397849462</v>
      </c>
      <c r="AE110" s="34">
        <f>AB110/AA110</f>
        <v>1.0405797101449274</v>
      </c>
      <c r="AF110" s="35">
        <f>AB110/R110</f>
        <v>1.4417670682730923</v>
      </c>
      <c r="AG110" s="29">
        <f>0.6*Z110+0.4*AA110</f>
        <v>305.39999999999998</v>
      </c>
      <c r="AH110" s="54">
        <v>3507</v>
      </c>
      <c r="AI110" s="59">
        <f>AH110/AG110</f>
        <v>11.483300589390964</v>
      </c>
      <c r="AJ110" s="61">
        <f>AI110/AI$488</f>
        <v>2.4402510556015442</v>
      </c>
    </row>
    <row r="111" spans="1:36" ht="15" customHeight="1" x14ac:dyDescent="0.2">
      <c r="A111" s="27" t="s">
        <v>373</v>
      </c>
      <c r="B111" s="27"/>
      <c r="C111" s="27" t="s">
        <v>326</v>
      </c>
      <c r="D111" s="27">
        <v>5</v>
      </c>
      <c r="E111" s="27"/>
      <c r="F111" s="27"/>
      <c r="G111" s="27" t="s">
        <v>206</v>
      </c>
      <c r="H111" s="27">
        <v>16</v>
      </c>
      <c r="I111" s="27" t="s">
        <v>618</v>
      </c>
      <c r="J111" s="27">
        <v>6</v>
      </c>
      <c r="K111" s="27">
        <v>6</v>
      </c>
      <c r="L111" s="27">
        <v>17</v>
      </c>
      <c r="M111" s="29">
        <v>34</v>
      </c>
      <c r="N111" s="30">
        <v>34</v>
      </c>
      <c r="O111" s="30">
        <v>145</v>
      </c>
      <c r="P111" s="30">
        <v>10</v>
      </c>
      <c r="Q111" s="30">
        <v>1</v>
      </c>
      <c r="R111" s="30">
        <v>156</v>
      </c>
      <c r="S111" s="31">
        <f>R111/N111</f>
        <v>4.5882352941176467</v>
      </c>
      <c r="T111" s="32">
        <f>O111/R111</f>
        <v>0.92948717948717952</v>
      </c>
      <c r="U111" s="32">
        <f>P111/R111</f>
        <v>6.4102564102564097E-2</v>
      </c>
      <c r="V111" s="32">
        <f>Q111/R111</f>
        <v>6.41025641025641E-3</v>
      </c>
      <c r="W111" s="31">
        <f>P111/O111</f>
        <v>6.8965517241379309E-2</v>
      </c>
      <c r="X111" s="31">
        <f>Q111/(O111+P111)</f>
        <v>6.4516129032258064E-3</v>
      </c>
      <c r="Y111" s="65">
        <f>R111/R$488</f>
        <v>4.5317352188450465E-4</v>
      </c>
      <c r="Z111" s="30">
        <v>162</v>
      </c>
      <c r="AA111" s="30">
        <v>149</v>
      </c>
      <c r="AB111" s="29">
        <v>185</v>
      </c>
      <c r="AC111" s="34">
        <f>Z111/R111</f>
        <v>1.0384615384615385</v>
      </c>
      <c r="AD111" s="34">
        <f>AA111/Z111</f>
        <v>0.91975308641975306</v>
      </c>
      <c r="AE111" s="34">
        <f>AB111/AA111</f>
        <v>1.2416107382550337</v>
      </c>
      <c r="AF111" s="35">
        <f>AB111/R111</f>
        <v>1.1858974358974359</v>
      </c>
      <c r="AG111" s="29">
        <f>0.6*Z111+0.4*AA111</f>
        <v>156.80000000000001</v>
      </c>
      <c r="AH111" s="54">
        <v>1730</v>
      </c>
      <c r="AI111" s="59">
        <f>AH111/AG111</f>
        <v>11.033163265306122</v>
      </c>
      <c r="AJ111" s="61">
        <f>AI111/AI$488</f>
        <v>2.3445949267984272</v>
      </c>
    </row>
    <row r="112" spans="1:36" ht="15" customHeight="1" x14ac:dyDescent="0.2">
      <c r="A112" s="28" t="s">
        <v>174</v>
      </c>
      <c r="B112" s="28"/>
      <c r="C112" s="28" t="s">
        <v>120</v>
      </c>
      <c r="D112" s="28">
        <v>9</v>
      </c>
      <c r="E112" s="27"/>
      <c r="F112" s="27"/>
      <c r="G112" s="27" t="s">
        <v>172</v>
      </c>
      <c r="H112" s="27">
        <v>1</v>
      </c>
      <c r="I112" s="27" t="s">
        <v>618</v>
      </c>
      <c r="J112" s="27">
        <v>6</v>
      </c>
      <c r="K112" s="27">
        <v>6</v>
      </c>
      <c r="L112" s="27">
        <v>19</v>
      </c>
      <c r="M112" s="29">
        <v>21</v>
      </c>
      <c r="N112" s="30">
        <v>23</v>
      </c>
      <c r="O112" s="30">
        <v>47</v>
      </c>
      <c r="P112" s="30">
        <v>14</v>
      </c>
      <c r="Q112" s="30">
        <v>36</v>
      </c>
      <c r="R112" s="30">
        <v>97</v>
      </c>
      <c r="S112" s="31">
        <f>R112/N112</f>
        <v>4.2173913043478262</v>
      </c>
      <c r="T112" s="32">
        <f>O112/R112</f>
        <v>0.4845360824742268</v>
      </c>
      <c r="U112" s="32">
        <f>P112/R112</f>
        <v>0.14432989690721648</v>
      </c>
      <c r="V112" s="32">
        <f>Q112/R112</f>
        <v>0.37113402061855671</v>
      </c>
      <c r="W112" s="31">
        <f>P112/O112</f>
        <v>0.2978723404255319</v>
      </c>
      <c r="X112" s="31">
        <f>Q112/(O112+P112)</f>
        <v>0.5901639344262295</v>
      </c>
      <c r="Y112" s="65">
        <f>R112/R$488</f>
        <v>2.8178097194100611E-4</v>
      </c>
      <c r="Z112" s="30">
        <v>112</v>
      </c>
      <c r="AA112" s="30">
        <v>145</v>
      </c>
      <c r="AB112" s="29">
        <v>137</v>
      </c>
      <c r="AC112" s="34">
        <f>Z112/R112</f>
        <v>1.1546391752577319</v>
      </c>
      <c r="AD112" s="34">
        <f>AA112/Z112</f>
        <v>1.2946428571428572</v>
      </c>
      <c r="AE112" s="34">
        <f>AB112/AA112</f>
        <v>0.94482758620689655</v>
      </c>
      <c r="AF112" s="35">
        <f>AB112/R112</f>
        <v>1.4123711340206186</v>
      </c>
      <c r="AG112" s="29">
        <f>0.6*Z112+0.4*AA112</f>
        <v>125.2</v>
      </c>
      <c r="AH112" s="54">
        <v>1556</v>
      </c>
      <c r="AI112" s="59">
        <f>AH112/AG112</f>
        <v>12.428115015974441</v>
      </c>
      <c r="AJ112" s="61">
        <f>AI112/AI$488</f>
        <v>2.641028208813744</v>
      </c>
    </row>
    <row r="113" spans="1:36" ht="15" customHeight="1" x14ac:dyDescent="0.2">
      <c r="A113" s="27" t="s">
        <v>213</v>
      </c>
      <c r="B113" s="27"/>
      <c r="C113" s="28" t="s">
        <v>113</v>
      </c>
      <c r="D113" s="28">
        <v>16</v>
      </c>
      <c r="E113" s="27"/>
      <c r="F113" s="27"/>
      <c r="G113" s="27" t="s">
        <v>73</v>
      </c>
      <c r="H113" s="27">
        <v>11</v>
      </c>
      <c r="I113" s="27" t="s">
        <v>623</v>
      </c>
      <c r="J113" s="27">
        <v>3</v>
      </c>
      <c r="K113" s="27">
        <v>4</v>
      </c>
      <c r="L113" s="27">
        <v>29</v>
      </c>
      <c r="M113" s="29">
        <v>63</v>
      </c>
      <c r="N113" s="30">
        <v>69</v>
      </c>
      <c r="O113" s="30">
        <v>46</v>
      </c>
      <c r="P113" s="30">
        <v>27</v>
      </c>
      <c r="Q113" s="30">
        <v>221</v>
      </c>
      <c r="R113" s="30">
        <v>294</v>
      </c>
      <c r="S113" s="31">
        <f>R113/N113</f>
        <v>4.2608695652173916</v>
      </c>
      <c r="T113" s="32">
        <f>O113/R113</f>
        <v>0.15646258503401361</v>
      </c>
      <c r="U113" s="32">
        <f>P113/R113</f>
        <v>9.1836734693877556E-2</v>
      </c>
      <c r="V113" s="32">
        <f>Q113/R113</f>
        <v>0.75170068027210879</v>
      </c>
      <c r="W113" s="31">
        <f>P113/O113</f>
        <v>0.58695652173913049</v>
      </c>
      <c r="X113" s="31">
        <f>Q113/(O113+P113)</f>
        <v>3.0273972602739727</v>
      </c>
      <c r="Y113" s="65">
        <f>R113/R$488</f>
        <v>8.5405779124387421E-4</v>
      </c>
      <c r="Z113" s="30">
        <v>274</v>
      </c>
      <c r="AA113" s="30">
        <v>280</v>
      </c>
      <c r="AB113" s="29">
        <v>223</v>
      </c>
      <c r="AC113" s="34">
        <f>Z113/R113</f>
        <v>0.93197278911564629</v>
      </c>
      <c r="AD113" s="34">
        <f>AA113/Z113</f>
        <v>1.0218978102189782</v>
      </c>
      <c r="AE113" s="34">
        <f>AB113/AA113</f>
        <v>0.79642857142857137</v>
      </c>
      <c r="AF113" s="35">
        <f>AB113/R113</f>
        <v>0.75850340136054417</v>
      </c>
      <c r="AG113" s="29">
        <f>0.6*Z113+0.4*AA113</f>
        <v>276.39999999999998</v>
      </c>
      <c r="AH113" s="54">
        <v>2109</v>
      </c>
      <c r="AI113" s="59">
        <f>AH113/AG113</f>
        <v>7.6302460202604925</v>
      </c>
      <c r="AJ113" s="61">
        <f>AI113/AI$488</f>
        <v>1.6214602901401254</v>
      </c>
    </row>
    <row r="114" spans="1:36" ht="15" customHeight="1" x14ac:dyDescent="0.2">
      <c r="A114" s="28" t="s">
        <v>40</v>
      </c>
      <c r="B114" s="28"/>
      <c r="C114" s="27" t="s">
        <v>113</v>
      </c>
      <c r="D114" s="28">
        <v>16</v>
      </c>
      <c r="E114" s="27"/>
      <c r="F114" s="27"/>
      <c r="G114" s="27" t="s">
        <v>73</v>
      </c>
      <c r="H114" s="27">
        <v>11</v>
      </c>
      <c r="I114" s="27" t="s">
        <v>111</v>
      </c>
      <c r="J114" s="27">
        <v>5</v>
      </c>
      <c r="K114" s="27">
        <v>4</v>
      </c>
      <c r="L114" s="27">
        <v>28</v>
      </c>
      <c r="M114" s="29">
        <v>59</v>
      </c>
      <c r="N114" s="30">
        <v>59</v>
      </c>
      <c r="O114" s="30">
        <v>258</v>
      </c>
      <c r="P114" s="30">
        <v>3</v>
      </c>
      <c r="Q114" s="30">
        <v>0</v>
      </c>
      <c r="R114" s="30">
        <v>261</v>
      </c>
      <c r="S114" s="31">
        <f>R114/N114</f>
        <v>4.4237288135593218</v>
      </c>
      <c r="T114" s="32">
        <f>O114/R114</f>
        <v>0.9885057471264368</v>
      </c>
      <c r="U114" s="32">
        <f>P114/R114</f>
        <v>1.1494252873563218E-2</v>
      </c>
      <c r="V114" s="32">
        <f>Q114/R114</f>
        <v>0</v>
      </c>
      <c r="W114" s="31">
        <f>P114/O114</f>
        <v>1.1627906976744186E-2</v>
      </c>
      <c r="X114" s="31">
        <f>Q114/(O114+P114)</f>
        <v>0</v>
      </c>
      <c r="Y114" s="65">
        <f>R114/R$488</f>
        <v>7.5819416161445967E-4</v>
      </c>
      <c r="Z114" s="30">
        <v>259</v>
      </c>
      <c r="AA114" s="30">
        <v>255</v>
      </c>
      <c r="AB114" s="29">
        <v>265</v>
      </c>
      <c r="AC114" s="34">
        <f>Z114/R114</f>
        <v>0.9923371647509579</v>
      </c>
      <c r="AD114" s="34">
        <f>AA114/Z114</f>
        <v>0.98455598455598459</v>
      </c>
      <c r="AE114" s="34">
        <f>AB114/AA114</f>
        <v>1.0392156862745099</v>
      </c>
      <c r="AF114" s="35">
        <f>AB114/R114</f>
        <v>1.0153256704980842</v>
      </c>
      <c r="AG114" s="29">
        <f>0.6*Z114+0.4*AA114</f>
        <v>257.39999999999998</v>
      </c>
      <c r="AH114" s="54">
        <v>1825</v>
      </c>
      <c r="AI114" s="59">
        <f>AH114/AG114</f>
        <v>7.0901320901320908</v>
      </c>
      <c r="AJ114" s="61">
        <f>AI114/AI$488</f>
        <v>1.5066837432857656</v>
      </c>
    </row>
    <row r="115" spans="1:36" ht="15" customHeight="1" x14ac:dyDescent="0.2">
      <c r="A115" s="27" t="s">
        <v>177</v>
      </c>
      <c r="B115" s="27"/>
      <c r="C115" s="28" t="s">
        <v>120</v>
      </c>
      <c r="D115" s="28">
        <v>9</v>
      </c>
      <c r="E115" s="27"/>
      <c r="F115" s="27"/>
      <c r="G115" s="27" t="s">
        <v>172</v>
      </c>
      <c r="H115" s="27">
        <v>1</v>
      </c>
      <c r="I115" s="27" t="s">
        <v>618</v>
      </c>
      <c r="J115" s="27">
        <v>6</v>
      </c>
      <c r="K115" s="27">
        <v>6</v>
      </c>
      <c r="L115" s="27">
        <v>20</v>
      </c>
      <c r="M115" s="29">
        <v>95</v>
      </c>
      <c r="N115" s="30">
        <v>123</v>
      </c>
      <c r="O115" s="30">
        <v>86</v>
      </c>
      <c r="P115" s="30">
        <v>33</v>
      </c>
      <c r="Q115" s="30">
        <v>508</v>
      </c>
      <c r="R115" s="30">
        <v>627</v>
      </c>
      <c r="S115" s="31">
        <f>R115/N115</f>
        <v>5.0975609756097562</v>
      </c>
      <c r="T115" s="32">
        <f>O115/R115</f>
        <v>0.13716108452950559</v>
      </c>
      <c r="U115" s="32">
        <f>P115/R115</f>
        <v>5.2631578947368418E-2</v>
      </c>
      <c r="V115" s="32">
        <f>Q115/R115</f>
        <v>0.81020733652312604</v>
      </c>
      <c r="W115" s="31">
        <f>P115/O115</f>
        <v>0.38372093023255816</v>
      </c>
      <c r="X115" s="31">
        <f>Q115/(O115+P115)</f>
        <v>4.26890756302521</v>
      </c>
      <c r="Y115" s="65">
        <f>R115/R$488</f>
        <v>1.8214089629588746E-3</v>
      </c>
      <c r="Z115" s="30">
        <v>634</v>
      </c>
      <c r="AA115" s="30">
        <v>770</v>
      </c>
      <c r="AB115" s="29">
        <v>857</v>
      </c>
      <c r="AC115" s="34">
        <f>Z115/R115</f>
        <v>1.0111642743221692</v>
      </c>
      <c r="AD115" s="34">
        <f>AA115/Z115</f>
        <v>1.2145110410094637</v>
      </c>
      <c r="AE115" s="34">
        <f>AB115/AA115</f>
        <v>1.112987012987013</v>
      </c>
      <c r="AF115" s="35">
        <f>AB115/R115</f>
        <v>1.3668261562998405</v>
      </c>
      <c r="AG115" s="29">
        <f>0.6*Z115+0.4*AA115</f>
        <v>688.4</v>
      </c>
      <c r="AH115" s="54">
        <v>4321</v>
      </c>
      <c r="AI115" s="59">
        <f>AH115/AG115</f>
        <v>6.2768739105171418</v>
      </c>
      <c r="AJ115" s="61">
        <f>AI115/AI$488</f>
        <v>1.3338628617079176</v>
      </c>
    </row>
    <row r="116" spans="1:36" ht="15" customHeight="1" x14ac:dyDescent="0.2">
      <c r="A116" s="28" t="s">
        <v>60</v>
      </c>
      <c r="B116" s="28"/>
      <c r="C116" s="28" t="s">
        <v>118</v>
      </c>
      <c r="D116" s="28">
        <v>19</v>
      </c>
      <c r="E116" s="27"/>
      <c r="F116" s="27"/>
      <c r="G116" s="27" t="s">
        <v>69</v>
      </c>
      <c r="H116" s="27">
        <v>5</v>
      </c>
      <c r="I116" s="27" t="s">
        <v>621</v>
      </c>
      <c r="J116" s="27">
        <v>7</v>
      </c>
      <c r="K116" s="27">
        <v>2</v>
      </c>
      <c r="L116" s="27">
        <v>19</v>
      </c>
      <c r="M116" s="29">
        <v>112</v>
      </c>
      <c r="N116" s="30">
        <v>115</v>
      </c>
      <c r="O116" s="30">
        <v>196</v>
      </c>
      <c r="P116" s="30">
        <v>336</v>
      </c>
      <c r="Q116" s="30">
        <v>165</v>
      </c>
      <c r="R116" s="30">
        <v>697</v>
      </c>
      <c r="S116" s="31">
        <f>R116/N116</f>
        <v>6.0608695652173914</v>
      </c>
      <c r="T116" s="32">
        <f>O116/R116</f>
        <v>0.28120516499282638</v>
      </c>
      <c r="U116" s="32">
        <f>P116/R116</f>
        <v>0.48206599713055953</v>
      </c>
      <c r="V116" s="32">
        <f>Q116/R116</f>
        <v>0.23672883787661406</v>
      </c>
      <c r="W116" s="31">
        <f>P116/O116</f>
        <v>1.7142857142857142</v>
      </c>
      <c r="X116" s="31">
        <f>Q116/(O116+P116)</f>
        <v>0.31015037593984962</v>
      </c>
      <c r="Y116" s="65">
        <f>R116/R$488</f>
        <v>2.0247560561121778E-3</v>
      </c>
      <c r="Z116" s="30">
        <v>577</v>
      </c>
      <c r="AA116" s="30">
        <v>632</v>
      </c>
      <c r="AB116" s="29">
        <v>644</v>
      </c>
      <c r="AC116" s="34">
        <f>Z116/R116</f>
        <v>0.82783357245337164</v>
      </c>
      <c r="AD116" s="34">
        <f>AA116/Z116</f>
        <v>1.0953206239168112</v>
      </c>
      <c r="AE116" s="34">
        <f>AB116/AA116</f>
        <v>1.018987341772152</v>
      </c>
      <c r="AF116" s="35">
        <f>AB116/R116</f>
        <v>0.92395982783357244</v>
      </c>
      <c r="AG116" s="29">
        <f>0.6*Z116+0.4*AA116</f>
        <v>599</v>
      </c>
      <c r="AH116" s="54">
        <v>2022</v>
      </c>
      <c r="AI116" s="59">
        <f>AH116/AG116</f>
        <v>3.375626043405676</v>
      </c>
      <c r="AJ116" s="61">
        <f>AI116/AI$488</f>
        <v>0.71733513823952311</v>
      </c>
    </row>
    <row r="117" spans="1:36" ht="15" customHeight="1" x14ac:dyDescent="0.2">
      <c r="A117" s="28" t="s">
        <v>168</v>
      </c>
      <c r="B117" s="28"/>
      <c r="C117" s="28" t="s">
        <v>17</v>
      </c>
      <c r="D117" s="28">
        <v>8</v>
      </c>
      <c r="E117" s="27"/>
      <c r="F117" s="27"/>
      <c r="G117" s="27" t="s">
        <v>201</v>
      </c>
      <c r="H117" s="27">
        <v>3</v>
      </c>
      <c r="I117" s="27" t="s">
        <v>621</v>
      </c>
      <c r="J117" s="27">
        <v>7</v>
      </c>
      <c r="K117" s="27">
        <v>6</v>
      </c>
      <c r="L117" s="27">
        <v>12</v>
      </c>
      <c r="M117" s="29">
        <v>135</v>
      </c>
      <c r="N117" s="30">
        <v>135</v>
      </c>
      <c r="O117" s="30">
        <v>208</v>
      </c>
      <c r="P117" s="30">
        <v>39</v>
      </c>
      <c r="Q117" s="30">
        <v>515</v>
      </c>
      <c r="R117" s="30">
        <v>762</v>
      </c>
      <c r="S117" s="31">
        <f>R117/N117</f>
        <v>5.6444444444444448</v>
      </c>
      <c r="T117" s="32">
        <f>O117/R117</f>
        <v>0.27296587926509186</v>
      </c>
      <c r="U117" s="32">
        <f>P117/R117</f>
        <v>5.1181102362204724E-2</v>
      </c>
      <c r="V117" s="32">
        <f>Q117/R117</f>
        <v>0.6758530183727034</v>
      </c>
      <c r="W117" s="31">
        <f>P117/O117</f>
        <v>0.1875</v>
      </c>
      <c r="X117" s="31">
        <f>Q117/(O117+P117)</f>
        <v>2.0850202429149798</v>
      </c>
      <c r="Y117" s="65">
        <f>R117/R$488</f>
        <v>2.2135783568973883E-3</v>
      </c>
      <c r="Z117" s="30">
        <v>759</v>
      </c>
      <c r="AA117" s="30">
        <v>875</v>
      </c>
      <c r="AB117" s="29">
        <v>880</v>
      </c>
      <c r="AC117" s="34">
        <f>Z117/R117</f>
        <v>0.99606299212598426</v>
      </c>
      <c r="AD117" s="34">
        <f>AA117/Z117</f>
        <v>1.1528326745718049</v>
      </c>
      <c r="AE117" s="34">
        <f>AB117/AA117</f>
        <v>1.0057142857142858</v>
      </c>
      <c r="AF117" s="35">
        <f>AB117/R117</f>
        <v>1.1548556430446195</v>
      </c>
      <c r="AG117" s="29">
        <f>0.6*Z117+0.4*AA117</f>
        <v>805.4</v>
      </c>
      <c r="AH117" s="54">
        <v>4477</v>
      </c>
      <c r="AI117" s="59">
        <f>AH117/AG117</f>
        <v>5.5587285820710211</v>
      </c>
      <c r="AJ117" s="61">
        <f>AI117/AI$488</f>
        <v>1.1812538724914374</v>
      </c>
    </row>
    <row r="118" spans="1:36" ht="15" customHeight="1" x14ac:dyDescent="0.2">
      <c r="A118" s="27" t="s">
        <v>107</v>
      </c>
      <c r="B118" s="27">
        <v>1</v>
      </c>
      <c r="C118" s="27" t="s">
        <v>107</v>
      </c>
      <c r="D118" s="27">
        <v>7</v>
      </c>
      <c r="E118" s="27" t="s">
        <v>420</v>
      </c>
      <c r="F118" s="27"/>
      <c r="G118" s="27" t="s">
        <v>336</v>
      </c>
      <c r="H118" s="27">
        <v>10</v>
      </c>
      <c r="I118" s="27" t="s">
        <v>618</v>
      </c>
      <c r="J118" s="27">
        <v>6</v>
      </c>
      <c r="K118" s="27">
        <v>7</v>
      </c>
      <c r="L118" s="27">
        <v>6</v>
      </c>
      <c r="M118" s="29">
        <v>257</v>
      </c>
      <c r="N118" s="30">
        <v>334</v>
      </c>
      <c r="O118" s="30">
        <v>255</v>
      </c>
      <c r="P118" s="30">
        <v>197</v>
      </c>
      <c r="Q118" s="30">
        <v>1189</v>
      </c>
      <c r="R118" s="30">
        <v>1641</v>
      </c>
      <c r="S118" s="31">
        <f>R118/N118</f>
        <v>4.9131736526946108</v>
      </c>
      <c r="T118" s="32">
        <f>O118/R118</f>
        <v>0.15539305301645337</v>
      </c>
      <c r="U118" s="32">
        <f>P118/R118</f>
        <v>0.12004875076173065</v>
      </c>
      <c r="V118" s="32">
        <f>Q118/R118</f>
        <v>0.72455819622181594</v>
      </c>
      <c r="W118" s="31">
        <f>P118/O118</f>
        <v>0.77254901960784317</v>
      </c>
      <c r="X118" s="31">
        <f>Q118/(O118+P118)</f>
        <v>2.6305309734513274</v>
      </c>
      <c r="Y118" s="65">
        <f>R118/R$488</f>
        <v>4.7670368552081548E-3</v>
      </c>
      <c r="Z118" s="30">
        <v>1774</v>
      </c>
      <c r="AA118" s="30">
        <v>1945</v>
      </c>
      <c r="AB118" s="29">
        <v>2182</v>
      </c>
      <c r="AC118" s="34">
        <f>Z118/R118</f>
        <v>1.0810481413772091</v>
      </c>
      <c r="AD118" s="34">
        <f>AA118/Z118</f>
        <v>1.0963923337091319</v>
      </c>
      <c r="AE118" s="34">
        <f>AB118/AA118</f>
        <v>1.1218508997429306</v>
      </c>
      <c r="AF118" s="35">
        <f>AB118/R118</f>
        <v>1.3296770262035345</v>
      </c>
      <c r="AG118" s="29">
        <f>0.6*Z118+0.4*AA118</f>
        <v>1842.3999999999999</v>
      </c>
      <c r="AH118" s="54">
        <v>12909</v>
      </c>
      <c r="AI118" s="59">
        <f>AH118/AG118</f>
        <v>7.0066217976552325</v>
      </c>
      <c r="AJ118" s="61">
        <f>AI118/AI$488</f>
        <v>1.4889374448427448</v>
      </c>
    </row>
    <row r="119" spans="1:36" ht="15" customHeight="1" x14ac:dyDescent="0.2">
      <c r="A119" s="27" t="s">
        <v>354</v>
      </c>
      <c r="B119" s="27"/>
      <c r="C119" s="27" t="s">
        <v>325</v>
      </c>
      <c r="D119" s="27">
        <v>4</v>
      </c>
      <c r="E119" s="27" t="s">
        <v>421</v>
      </c>
      <c r="F119" s="27"/>
      <c r="G119" s="27" t="s">
        <v>331</v>
      </c>
      <c r="H119" s="27">
        <v>17</v>
      </c>
      <c r="I119" s="27" t="s">
        <v>620</v>
      </c>
      <c r="J119" s="27">
        <v>10</v>
      </c>
      <c r="K119" s="27">
        <v>1</v>
      </c>
      <c r="L119" s="27">
        <v>20</v>
      </c>
      <c r="M119" s="29">
        <v>151</v>
      </c>
      <c r="N119" s="30">
        <v>183</v>
      </c>
      <c r="O119" s="30">
        <v>163</v>
      </c>
      <c r="P119" s="30">
        <v>40</v>
      </c>
      <c r="Q119" s="30">
        <v>616</v>
      </c>
      <c r="R119" s="30">
        <v>819</v>
      </c>
      <c r="S119" s="31">
        <f>R119/N119</f>
        <v>4.4754098360655741</v>
      </c>
      <c r="T119" s="32">
        <f>O119/R119</f>
        <v>0.19902319902319901</v>
      </c>
      <c r="U119" s="32">
        <f>P119/R119</f>
        <v>4.884004884004884E-2</v>
      </c>
      <c r="V119" s="32">
        <f>Q119/R119</f>
        <v>0.75213675213675213</v>
      </c>
      <c r="W119" s="31">
        <f>P119/O119</f>
        <v>0.24539877300613497</v>
      </c>
      <c r="X119" s="31">
        <f>Q119/(O119+P119)</f>
        <v>3.0344827586206895</v>
      </c>
      <c r="Y119" s="65">
        <f>R119/R$488</f>
        <v>2.3791609898936496E-3</v>
      </c>
      <c r="Z119" s="30">
        <v>732</v>
      </c>
      <c r="AA119" s="30">
        <v>1032</v>
      </c>
      <c r="AB119" s="29">
        <v>1031</v>
      </c>
      <c r="AC119" s="34">
        <f>Z119/R119</f>
        <v>0.89377289377289382</v>
      </c>
      <c r="AD119" s="34">
        <f>AA119/Z119</f>
        <v>1.4098360655737705</v>
      </c>
      <c r="AE119" s="34">
        <f>AB119/AA119</f>
        <v>0.99903100775193798</v>
      </c>
      <c r="AF119" s="35">
        <f>AB119/R119</f>
        <v>1.2588522588522588</v>
      </c>
      <c r="AG119" s="29">
        <f>0.6*Z119+0.4*AA119</f>
        <v>852</v>
      </c>
      <c r="AH119" s="54">
        <v>2446</v>
      </c>
      <c r="AI119" s="59">
        <f>AH119/AG119</f>
        <v>2.8708920187793425</v>
      </c>
      <c r="AJ119" s="61">
        <f>AI119/AI$488</f>
        <v>0.61007697436890806</v>
      </c>
    </row>
    <row r="120" spans="1:36" ht="15" customHeight="1" x14ac:dyDescent="0.2">
      <c r="A120" s="27" t="s">
        <v>334</v>
      </c>
      <c r="B120" s="27">
        <v>2</v>
      </c>
      <c r="C120" s="28" t="s">
        <v>323</v>
      </c>
      <c r="D120" s="28">
        <v>1</v>
      </c>
      <c r="E120" s="27"/>
      <c r="F120" s="27"/>
      <c r="G120" s="27" t="s">
        <v>219</v>
      </c>
      <c r="H120" s="27">
        <v>6</v>
      </c>
      <c r="I120" s="27" t="s">
        <v>618</v>
      </c>
      <c r="J120" s="27">
        <v>6</v>
      </c>
      <c r="K120" s="27">
        <v>7</v>
      </c>
      <c r="L120" s="27">
        <v>8</v>
      </c>
      <c r="M120" s="29">
        <v>35</v>
      </c>
      <c r="N120" s="30">
        <v>41</v>
      </c>
      <c r="O120" s="30">
        <v>38</v>
      </c>
      <c r="P120" s="30">
        <v>12</v>
      </c>
      <c r="Q120" s="30">
        <v>187</v>
      </c>
      <c r="R120" s="30">
        <v>237</v>
      </c>
      <c r="S120" s="31">
        <f>R120/N120</f>
        <v>5.7804878048780486</v>
      </c>
      <c r="T120" s="32">
        <f>O120/R120</f>
        <v>0.16033755274261605</v>
      </c>
      <c r="U120" s="32">
        <f>P120/R120</f>
        <v>5.0632911392405063E-2</v>
      </c>
      <c r="V120" s="32">
        <f>Q120/R120</f>
        <v>0.78902953586497893</v>
      </c>
      <c r="W120" s="31">
        <f>P120/O120</f>
        <v>0.31578947368421051</v>
      </c>
      <c r="X120" s="31">
        <f>Q120/(O120+P120)</f>
        <v>3.74</v>
      </c>
      <c r="Y120" s="65">
        <f>R120/R$488</f>
        <v>6.8847515824761285E-4</v>
      </c>
      <c r="Z120" s="30">
        <v>249</v>
      </c>
      <c r="AA120" s="30">
        <v>285</v>
      </c>
      <c r="AB120" s="29">
        <v>296</v>
      </c>
      <c r="AC120" s="34">
        <f>Z120/R120</f>
        <v>1.0506329113924051</v>
      </c>
      <c r="AD120" s="34">
        <f>AA120/Z120</f>
        <v>1.1445783132530121</v>
      </c>
      <c r="AE120" s="34">
        <f>AB120/AA120</f>
        <v>1.0385964912280701</v>
      </c>
      <c r="AF120" s="35">
        <f>AB120/R120</f>
        <v>1.248945147679325</v>
      </c>
      <c r="AG120" s="29">
        <f>0.6*Z120+0.4*AA120</f>
        <v>263.39999999999998</v>
      </c>
      <c r="AH120" s="54">
        <v>2575</v>
      </c>
      <c r="AI120" s="59">
        <f>AH120/AG120</f>
        <v>9.7760060744115425</v>
      </c>
      <c r="AJ120" s="61">
        <f>AI120/AI$488</f>
        <v>2.0774435848774653</v>
      </c>
    </row>
    <row r="121" spans="1:36" ht="15" customHeight="1" x14ac:dyDescent="0.2">
      <c r="A121" s="28" t="s">
        <v>497</v>
      </c>
      <c r="B121" s="28"/>
      <c r="C121" s="28" t="s">
        <v>116</v>
      </c>
      <c r="D121" s="27">
        <v>32</v>
      </c>
      <c r="E121" s="27"/>
      <c r="F121" s="27"/>
      <c r="G121" s="27" t="s">
        <v>106</v>
      </c>
      <c r="H121" s="27">
        <v>12</v>
      </c>
      <c r="I121" s="27" t="s">
        <v>111</v>
      </c>
      <c r="J121" s="27">
        <v>5</v>
      </c>
      <c r="K121" s="27">
        <v>4</v>
      </c>
      <c r="L121" s="27">
        <v>27</v>
      </c>
      <c r="M121" s="29">
        <v>109</v>
      </c>
      <c r="N121" s="30">
        <v>109</v>
      </c>
      <c r="O121" s="30">
        <v>196</v>
      </c>
      <c r="P121" s="30">
        <v>22</v>
      </c>
      <c r="Q121" s="30">
        <v>287</v>
      </c>
      <c r="R121" s="30">
        <v>505</v>
      </c>
      <c r="S121" s="31">
        <f>R121/N121</f>
        <v>4.6330275229357802</v>
      </c>
      <c r="T121" s="32">
        <f>O121/R121</f>
        <v>0.38811881188118813</v>
      </c>
      <c r="U121" s="32">
        <f>P121/R121</f>
        <v>4.3564356435643561E-2</v>
      </c>
      <c r="V121" s="32">
        <f>Q121/R121</f>
        <v>0.56831683168316827</v>
      </c>
      <c r="W121" s="31">
        <f>P121/O121</f>
        <v>0.11224489795918367</v>
      </c>
      <c r="X121" s="31">
        <f>Q121/(O121+P121)</f>
        <v>1.3165137614678899</v>
      </c>
      <c r="Y121" s="65">
        <f>R121/R$488</f>
        <v>1.4670040291774029E-3</v>
      </c>
      <c r="Z121" s="40">
        <v>422</v>
      </c>
      <c r="AA121" s="40">
        <v>430</v>
      </c>
      <c r="AB121" s="37">
        <v>473</v>
      </c>
      <c r="AC121" s="34">
        <f>Z121/R121</f>
        <v>0.83564356435643561</v>
      </c>
      <c r="AD121" s="34">
        <f>AA121/Z121</f>
        <v>1.018957345971564</v>
      </c>
      <c r="AE121" s="34">
        <f>AB121/AA121</f>
        <v>1.1000000000000001</v>
      </c>
      <c r="AF121" s="35">
        <f>AB121/R121</f>
        <v>0.93663366336633669</v>
      </c>
      <c r="AG121" s="29">
        <f>0.6*Z121+0.4*AA121</f>
        <v>425.2</v>
      </c>
      <c r="AH121" s="56">
        <v>2690</v>
      </c>
      <c r="AI121" s="59">
        <f>AH121/AG121</f>
        <v>6.3264346190028222</v>
      </c>
      <c r="AJ121" s="61">
        <f>AI121/AI$488</f>
        <v>1.3443947266762764</v>
      </c>
    </row>
    <row r="122" spans="1:36" ht="15" customHeight="1" x14ac:dyDescent="0.2">
      <c r="A122" s="27" t="s">
        <v>335</v>
      </c>
      <c r="B122" s="27">
        <v>4</v>
      </c>
      <c r="C122" s="27" t="s">
        <v>323</v>
      </c>
      <c r="D122" s="27">
        <v>1</v>
      </c>
      <c r="E122" s="27"/>
      <c r="F122" s="27"/>
      <c r="G122" s="27" t="s">
        <v>336</v>
      </c>
      <c r="H122" s="27">
        <v>10</v>
      </c>
      <c r="I122" s="27" t="s">
        <v>618</v>
      </c>
      <c r="J122" s="27">
        <v>6</v>
      </c>
      <c r="K122" s="27">
        <v>7</v>
      </c>
      <c r="L122" s="27">
        <v>9</v>
      </c>
      <c r="M122" s="29">
        <v>28</v>
      </c>
      <c r="N122" s="30">
        <v>28</v>
      </c>
      <c r="O122" s="30">
        <v>133</v>
      </c>
      <c r="P122" s="30">
        <v>8</v>
      </c>
      <c r="Q122" s="30">
        <v>0</v>
      </c>
      <c r="R122" s="30">
        <v>141</v>
      </c>
      <c r="S122" s="31">
        <f>R122/N122</f>
        <v>5.0357142857142856</v>
      </c>
      <c r="T122" s="32">
        <f>O122/R122</f>
        <v>0.94326241134751776</v>
      </c>
      <c r="U122" s="32">
        <f>P122/R122</f>
        <v>5.6737588652482268E-2</v>
      </c>
      <c r="V122" s="32">
        <f>Q122/R122</f>
        <v>0</v>
      </c>
      <c r="W122" s="31">
        <f>P122/O122</f>
        <v>6.0150375939849621E-2</v>
      </c>
      <c r="X122" s="31">
        <f>Q122/(O122+P122)</f>
        <v>0</v>
      </c>
      <c r="Y122" s="65">
        <f>R122/R$488</f>
        <v>4.0959914478022537E-4</v>
      </c>
      <c r="Z122" s="30">
        <v>125</v>
      </c>
      <c r="AA122" s="30">
        <v>132</v>
      </c>
      <c r="AB122" s="29">
        <v>142</v>
      </c>
      <c r="AC122" s="34">
        <f>Z122/R122</f>
        <v>0.88652482269503541</v>
      </c>
      <c r="AD122" s="34">
        <f>AA122/Z122</f>
        <v>1.056</v>
      </c>
      <c r="AE122" s="34">
        <f>AB122/AA122</f>
        <v>1.0757575757575757</v>
      </c>
      <c r="AF122" s="35">
        <f>AB122/R122</f>
        <v>1.0070921985815602</v>
      </c>
      <c r="AG122" s="29">
        <f>0.6*Z122+0.4*AA122</f>
        <v>127.80000000000001</v>
      </c>
      <c r="AH122" s="54">
        <v>865</v>
      </c>
      <c r="AI122" s="59">
        <f>AH122/AG122</f>
        <v>6.7683881064162748</v>
      </c>
      <c r="AJ122" s="61">
        <f>AI122/AI$488</f>
        <v>1.4383117547808817</v>
      </c>
    </row>
    <row r="123" spans="1:36" ht="15" customHeight="1" x14ac:dyDescent="0.2">
      <c r="A123" s="27" t="s">
        <v>572</v>
      </c>
      <c r="B123" s="27"/>
      <c r="C123" s="27" t="s">
        <v>115</v>
      </c>
      <c r="D123" s="28">
        <v>22</v>
      </c>
      <c r="E123" s="27"/>
      <c r="F123" s="27" t="s">
        <v>478</v>
      </c>
      <c r="G123" s="27" t="s">
        <v>431</v>
      </c>
      <c r="H123" s="27">
        <v>21</v>
      </c>
      <c r="I123" s="27" t="s">
        <v>539</v>
      </c>
      <c r="J123" s="27">
        <v>2</v>
      </c>
      <c r="K123" s="27">
        <v>4</v>
      </c>
      <c r="L123" s="27">
        <v>20</v>
      </c>
      <c r="M123" s="30">
        <v>15</v>
      </c>
      <c r="N123" s="30">
        <v>16</v>
      </c>
      <c r="O123" s="30">
        <v>45</v>
      </c>
      <c r="P123" s="30">
        <v>8</v>
      </c>
      <c r="Q123" s="30">
        <v>39</v>
      </c>
      <c r="R123" s="30">
        <v>92</v>
      </c>
      <c r="S123" s="31">
        <f>R123/N123</f>
        <v>5.75</v>
      </c>
      <c r="T123" s="32">
        <f>O123/R123</f>
        <v>0.4891304347826087</v>
      </c>
      <c r="U123" s="32">
        <f>P123/R123</f>
        <v>8.6956521739130432E-2</v>
      </c>
      <c r="V123" s="32">
        <f>Q123/R123</f>
        <v>0.42391304347826086</v>
      </c>
      <c r="W123" s="31">
        <f>P123/O123</f>
        <v>0.17777777777777778</v>
      </c>
      <c r="X123" s="31">
        <f>Q123/(O123+P123)</f>
        <v>0.73584905660377353</v>
      </c>
      <c r="Y123" s="65">
        <f>R123/R$488</f>
        <v>2.6725617957291302E-4</v>
      </c>
      <c r="Z123" s="30">
        <v>114</v>
      </c>
      <c r="AA123" s="30">
        <v>175</v>
      </c>
      <c r="AB123" s="30">
        <v>229</v>
      </c>
      <c r="AC123" s="34">
        <f>Z123/R123</f>
        <v>1.2391304347826086</v>
      </c>
      <c r="AD123" s="34">
        <f>AA123/Z123</f>
        <v>1.5350877192982457</v>
      </c>
      <c r="AE123" s="34">
        <f>AB123/AA123</f>
        <v>1.3085714285714285</v>
      </c>
      <c r="AF123" s="35">
        <f>AB123/R123</f>
        <v>2.4891304347826089</v>
      </c>
      <c r="AG123" s="29">
        <f>0.6*Z123+0.4*AA123</f>
        <v>138.39999999999998</v>
      </c>
      <c r="AH123" s="54">
        <v>3505</v>
      </c>
      <c r="AI123" s="59">
        <f>AH123/AG123</f>
        <v>25.325144508670526</v>
      </c>
      <c r="AJ123" s="61">
        <f>AI123/AI$488</f>
        <v>5.3817027726017708</v>
      </c>
    </row>
    <row r="124" spans="1:36" ht="15" customHeight="1" x14ac:dyDescent="0.2">
      <c r="A124" s="27" t="s">
        <v>19</v>
      </c>
      <c r="B124" s="27"/>
      <c r="C124" s="27" t="s">
        <v>117</v>
      </c>
      <c r="D124" s="27">
        <v>3</v>
      </c>
      <c r="E124" s="27"/>
      <c r="F124" s="27"/>
      <c r="G124" s="27" t="s">
        <v>138</v>
      </c>
      <c r="H124" s="27">
        <v>9</v>
      </c>
      <c r="I124" s="27" t="s">
        <v>619</v>
      </c>
      <c r="J124" s="27">
        <v>9</v>
      </c>
      <c r="K124" s="27">
        <v>3</v>
      </c>
      <c r="L124" s="27">
        <v>13</v>
      </c>
      <c r="M124" s="29">
        <v>37</v>
      </c>
      <c r="N124" s="30">
        <v>57</v>
      </c>
      <c r="O124" s="30">
        <v>46</v>
      </c>
      <c r="P124" s="30">
        <v>79</v>
      </c>
      <c r="Q124" s="30">
        <v>136</v>
      </c>
      <c r="R124" s="30">
        <v>261</v>
      </c>
      <c r="S124" s="31">
        <f>R124/N124</f>
        <v>4.5789473684210522</v>
      </c>
      <c r="T124" s="32">
        <f>O124/R124</f>
        <v>0.17624521072796934</v>
      </c>
      <c r="U124" s="32">
        <f>P124/R124</f>
        <v>0.30268199233716475</v>
      </c>
      <c r="V124" s="32">
        <f>Q124/R124</f>
        <v>0.52107279693486586</v>
      </c>
      <c r="W124" s="31">
        <f>P124/O124</f>
        <v>1.7173913043478262</v>
      </c>
      <c r="X124" s="31">
        <f>Q124/(O124+P124)</f>
        <v>1.0880000000000001</v>
      </c>
      <c r="Y124" s="65">
        <f>R124/R$488</f>
        <v>7.5819416161445967E-4</v>
      </c>
      <c r="Z124" s="30">
        <v>262</v>
      </c>
      <c r="AA124" s="30">
        <v>282</v>
      </c>
      <c r="AB124" s="29">
        <v>290</v>
      </c>
      <c r="AC124" s="34">
        <f>Z124/R124</f>
        <v>1.0038314176245211</v>
      </c>
      <c r="AD124" s="34">
        <f>AA124/Z124</f>
        <v>1.0763358778625953</v>
      </c>
      <c r="AE124" s="34">
        <f>AB124/AA124</f>
        <v>1.0283687943262412</v>
      </c>
      <c r="AF124" s="35">
        <f>AB124/R124</f>
        <v>1.1111111111111112</v>
      </c>
      <c r="AG124" s="29">
        <f>0.6*Z124+0.4*AA124</f>
        <v>270</v>
      </c>
      <c r="AH124" s="54">
        <v>924</v>
      </c>
      <c r="AI124" s="59">
        <f>AH124/AG124</f>
        <v>3.4222222222222221</v>
      </c>
      <c r="AJ124" s="61">
        <f>AI124/AI$488</f>
        <v>0.72723702782770683</v>
      </c>
    </row>
    <row r="125" spans="1:36" ht="15" customHeight="1" x14ac:dyDescent="0.2">
      <c r="A125" s="28" t="s">
        <v>186</v>
      </c>
      <c r="B125" s="28"/>
      <c r="C125" s="28" t="s">
        <v>81</v>
      </c>
      <c r="D125" s="27">
        <v>10</v>
      </c>
      <c r="E125" s="27"/>
      <c r="F125" s="27"/>
      <c r="G125" s="27" t="s">
        <v>330</v>
      </c>
      <c r="H125" s="27">
        <v>15</v>
      </c>
      <c r="I125" s="27" t="s">
        <v>624</v>
      </c>
      <c r="J125" s="27">
        <v>4</v>
      </c>
      <c r="K125" s="27">
        <v>4</v>
      </c>
      <c r="L125" s="27">
        <v>21</v>
      </c>
      <c r="M125" s="29">
        <v>94</v>
      </c>
      <c r="N125" s="30">
        <v>98</v>
      </c>
      <c r="O125" s="30">
        <v>168</v>
      </c>
      <c r="P125" s="30">
        <v>54</v>
      </c>
      <c r="Q125" s="30">
        <v>523</v>
      </c>
      <c r="R125" s="30">
        <v>745</v>
      </c>
      <c r="S125" s="31">
        <f>R125/N125</f>
        <v>7.6020408163265305</v>
      </c>
      <c r="T125" s="32">
        <f>O125/R125</f>
        <v>0.22550335570469798</v>
      </c>
      <c r="U125" s="32">
        <f>P125/R125</f>
        <v>7.2483221476510068E-2</v>
      </c>
      <c r="V125" s="32">
        <f>Q125/R125</f>
        <v>0.70201342281879198</v>
      </c>
      <c r="W125" s="31">
        <f>P125/O125</f>
        <v>0.32142857142857145</v>
      </c>
      <c r="X125" s="31">
        <f>Q125/(O125+P125)</f>
        <v>2.355855855855856</v>
      </c>
      <c r="Y125" s="65">
        <f>R125/R$488</f>
        <v>2.1641940628458717E-3</v>
      </c>
      <c r="Z125" s="30">
        <v>807</v>
      </c>
      <c r="AA125" s="30">
        <v>1057</v>
      </c>
      <c r="AB125" s="29">
        <v>1056</v>
      </c>
      <c r="AC125" s="34">
        <f>Z125/R125</f>
        <v>1.0832214765100672</v>
      </c>
      <c r="AD125" s="34">
        <f>AA125/Z125</f>
        <v>1.3097893432465924</v>
      </c>
      <c r="AE125" s="34">
        <f>AB125/AA125</f>
        <v>0.99905392620624411</v>
      </c>
      <c r="AF125" s="35">
        <f>AB125/R125</f>
        <v>1.4174496644295302</v>
      </c>
      <c r="AG125" s="29">
        <f>0.6*Z125+0.4*AA125</f>
        <v>907</v>
      </c>
      <c r="AH125" s="54">
        <v>5544</v>
      </c>
      <c r="AI125" s="59">
        <f>AH125/AG125</f>
        <v>6.112458654906284</v>
      </c>
      <c r="AJ125" s="61">
        <f>AI125/AI$488</f>
        <v>1.2989239085787045</v>
      </c>
    </row>
    <row r="126" spans="1:36" ht="15" customHeight="1" x14ac:dyDescent="0.2">
      <c r="A126" s="28" t="s">
        <v>78</v>
      </c>
      <c r="B126" s="28"/>
      <c r="C126" s="28" t="s">
        <v>112</v>
      </c>
      <c r="D126" s="28">
        <v>6</v>
      </c>
      <c r="E126" s="27"/>
      <c r="F126" s="27"/>
      <c r="G126" s="27" t="s">
        <v>26</v>
      </c>
      <c r="H126" s="27">
        <v>24</v>
      </c>
      <c r="I126" s="27" t="s">
        <v>624</v>
      </c>
      <c r="J126" s="27">
        <v>4</v>
      </c>
      <c r="K126" s="27">
        <v>4</v>
      </c>
      <c r="L126" s="27">
        <v>25</v>
      </c>
      <c r="M126" s="29">
        <v>80</v>
      </c>
      <c r="N126" s="30">
        <v>80</v>
      </c>
      <c r="O126" s="30">
        <v>286</v>
      </c>
      <c r="P126" s="30">
        <v>130</v>
      </c>
      <c r="Q126" s="30">
        <v>52</v>
      </c>
      <c r="R126" s="30">
        <v>468</v>
      </c>
      <c r="S126" s="31">
        <f>R126/N126</f>
        <v>5.85</v>
      </c>
      <c r="T126" s="32">
        <f>O126/R126</f>
        <v>0.61111111111111116</v>
      </c>
      <c r="U126" s="32">
        <f>P126/R126</f>
        <v>0.27777777777777779</v>
      </c>
      <c r="V126" s="32">
        <f>Q126/R126</f>
        <v>0.1111111111111111</v>
      </c>
      <c r="W126" s="31">
        <f>P126/O126</f>
        <v>0.45454545454545453</v>
      </c>
      <c r="X126" s="31">
        <f>Q126/(O126+P126)</f>
        <v>0.125</v>
      </c>
      <c r="Y126" s="65">
        <f>R126/R$488</f>
        <v>1.359520565653514E-3</v>
      </c>
      <c r="Z126" s="30">
        <v>477</v>
      </c>
      <c r="AA126" s="30">
        <v>607</v>
      </c>
      <c r="AB126" s="29">
        <v>567</v>
      </c>
      <c r="AC126" s="34">
        <f>Z126/R126</f>
        <v>1.0192307692307692</v>
      </c>
      <c r="AD126" s="34">
        <f>AA126/Z126</f>
        <v>1.2725366876310273</v>
      </c>
      <c r="AE126" s="34">
        <f>AB126/AA126</f>
        <v>0.9341021416803954</v>
      </c>
      <c r="AF126" s="35">
        <f>AB126/R126</f>
        <v>1.2115384615384615</v>
      </c>
      <c r="AG126" s="29">
        <f>0.6*Z126+0.4*AA126</f>
        <v>529</v>
      </c>
      <c r="AH126" s="54">
        <v>3602</v>
      </c>
      <c r="AI126" s="59">
        <f>AH126/AG126</f>
        <v>6.8090737240075612</v>
      </c>
      <c r="AJ126" s="61">
        <f>AI126/AI$488</f>
        <v>1.4469576245377582</v>
      </c>
    </row>
    <row r="127" spans="1:36" ht="15" customHeight="1" x14ac:dyDescent="0.2">
      <c r="A127" s="28" t="s">
        <v>224</v>
      </c>
      <c r="B127" s="28"/>
      <c r="C127" s="28" t="s">
        <v>121</v>
      </c>
      <c r="D127" s="28">
        <v>18</v>
      </c>
      <c r="E127" s="27"/>
      <c r="F127" s="27"/>
      <c r="G127" s="27" t="s">
        <v>126</v>
      </c>
      <c r="H127" s="27">
        <v>20</v>
      </c>
      <c r="I127" s="27" t="s">
        <v>622</v>
      </c>
      <c r="J127" s="27">
        <v>8</v>
      </c>
      <c r="K127" s="27">
        <v>4</v>
      </c>
      <c r="L127" s="27">
        <v>19</v>
      </c>
      <c r="M127" s="29">
        <v>30</v>
      </c>
      <c r="N127" s="30">
        <v>35</v>
      </c>
      <c r="O127" s="30">
        <v>44</v>
      </c>
      <c r="P127" s="30">
        <v>5</v>
      </c>
      <c r="Q127" s="30">
        <v>105</v>
      </c>
      <c r="R127" s="30">
        <v>154</v>
      </c>
      <c r="S127" s="31">
        <f>R127/N127</f>
        <v>4.4000000000000004</v>
      </c>
      <c r="T127" s="32">
        <f>O127/R127</f>
        <v>0.2857142857142857</v>
      </c>
      <c r="U127" s="32">
        <f>P127/R127</f>
        <v>3.2467532467532464E-2</v>
      </c>
      <c r="V127" s="32">
        <f>Q127/R127</f>
        <v>0.68181818181818177</v>
      </c>
      <c r="W127" s="31">
        <f>P127/O127</f>
        <v>0.11363636363636363</v>
      </c>
      <c r="X127" s="31">
        <f>Q127/(O127+P127)</f>
        <v>2.1428571428571428</v>
      </c>
      <c r="Y127" s="65">
        <f>R127/R$488</f>
        <v>4.4736360493726743E-4</v>
      </c>
      <c r="Z127" s="30">
        <v>180</v>
      </c>
      <c r="AA127" s="30">
        <v>258</v>
      </c>
      <c r="AB127" s="29">
        <v>314</v>
      </c>
      <c r="AC127" s="34">
        <f>Z127/R127</f>
        <v>1.1688311688311688</v>
      </c>
      <c r="AD127" s="34">
        <f>AA127/Z127</f>
        <v>1.4333333333333333</v>
      </c>
      <c r="AE127" s="34">
        <f>AB127/AA127</f>
        <v>1.2170542635658914</v>
      </c>
      <c r="AF127" s="35">
        <f>AB127/R127</f>
        <v>2.0389610389610389</v>
      </c>
      <c r="AG127" s="29">
        <f>0.6*Z127+0.4*AA127</f>
        <v>211.2</v>
      </c>
      <c r="AH127" s="54">
        <v>1401</v>
      </c>
      <c r="AI127" s="59">
        <f>AH127/AG127</f>
        <v>6.6335227272727275</v>
      </c>
      <c r="AJ127" s="61">
        <f>AI127/AI$488</f>
        <v>1.4096522782429957</v>
      </c>
    </row>
    <row r="128" spans="1:36" ht="15" customHeight="1" x14ac:dyDescent="0.2">
      <c r="A128" s="28" t="s">
        <v>160</v>
      </c>
      <c r="B128" s="28">
        <v>4</v>
      </c>
      <c r="C128" s="28" t="s">
        <v>107</v>
      </c>
      <c r="D128" s="28">
        <v>7</v>
      </c>
      <c r="E128" s="27"/>
      <c r="F128" s="27"/>
      <c r="G128" s="27" t="s">
        <v>336</v>
      </c>
      <c r="H128" s="27">
        <v>10</v>
      </c>
      <c r="I128" s="27" t="s">
        <v>618</v>
      </c>
      <c r="J128" s="27">
        <v>6</v>
      </c>
      <c r="K128" s="27">
        <v>7</v>
      </c>
      <c r="L128" s="27">
        <v>7</v>
      </c>
      <c r="M128" s="29">
        <v>42</v>
      </c>
      <c r="N128" s="30">
        <v>46</v>
      </c>
      <c r="O128" s="30">
        <v>102</v>
      </c>
      <c r="P128" s="30">
        <v>47</v>
      </c>
      <c r="Q128" s="30">
        <v>65</v>
      </c>
      <c r="R128" s="30">
        <v>214</v>
      </c>
      <c r="S128" s="31">
        <f>R128/N128</f>
        <v>4.6521739130434785</v>
      </c>
      <c r="T128" s="32">
        <f>O128/R128</f>
        <v>0.47663551401869159</v>
      </c>
      <c r="U128" s="32">
        <f>P128/R128</f>
        <v>0.21962616822429906</v>
      </c>
      <c r="V128" s="32">
        <f>Q128/R128</f>
        <v>0.30373831775700932</v>
      </c>
      <c r="W128" s="31">
        <f>P128/O128</f>
        <v>0.46078431372549017</v>
      </c>
      <c r="X128" s="31">
        <f>Q128/(O128+P128)</f>
        <v>0.43624161073825501</v>
      </c>
      <c r="Y128" s="65">
        <f>R128/R$488</f>
        <v>6.216611133543846E-4</v>
      </c>
      <c r="Z128" s="30">
        <v>245</v>
      </c>
      <c r="AA128" s="30">
        <v>239</v>
      </c>
      <c r="AB128" s="29">
        <v>240</v>
      </c>
      <c r="AC128" s="34">
        <f>Z128/R128</f>
        <v>1.1448598130841121</v>
      </c>
      <c r="AD128" s="34">
        <f>AA128/Z128</f>
        <v>0.97551020408163269</v>
      </c>
      <c r="AE128" s="34">
        <f>AB128/AA128</f>
        <v>1.00418410041841</v>
      </c>
      <c r="AF128" s="35">
        <f>AB128/R128</f>
        <v>1.1214953271028036</v>
      </c>
      <c r="AG128" s="29">
        <f>0.6*Z128+0.4*AA128</f>
        <v>242.60000000000002</v>
      </c>
      <c r="AH128" s="54">
        <v>1838</v>
      </c>
      <c r="AI128" s="59">
        <f>AH128/AG128</f>
        <v>7.5762572135201971</v>
      </c>
      <c r="AJ128" s="61">
        <f>AI128/AI$488</f>
        <v>1.6099874351353205</v>
      </c>
    </row>
    <row r="129" spans="1:36" ht="15" customHeight="1" x14ac:dyDescent="0.2">
      <c r="A129" s="27" t="s">
        <v>397</v>
      </c>
      <c r="B129" s="27"/>
      <c r="C129" s="27" t="s">
        <v>331</v>
      </c>
      <c r="D129" s="27">
        <v>24</v>
      </c>
      <c r="E129" s="27"/>
      <c r="F129" s="27"/>
      <c r="G129" s="27" t="s">
        <v>331</v>
      </c>
      <c r="H129" s="27">
        <v>17</v>
      </c>
      <c r="I129" s="27" t="s">
        <v>620</v>
      </c>
      <c r="J129" s="27">
        <v>10</v>
      </c>
      <c r="K129" s="27">
        <v>1</v>
      </c>
      <c r="L129" s="27">
        <v>19</v>
      </c>
      <c r="M129" s="29">
        <v>24</v>
      </c>
      <c r="N129" s="30">
        <v>24</v>
      </c>
      <c r="O129" s="30">
        <v>117</v>
      </c>
      <c r="P129" s="30">
        <v>3</v>
      </c>
      <c r="Q129" s="30">
        <v>0</v>
      </c>
      <c r="R129" s="30">
        <v>120</v>
      </c>
      <c r="S129" s="31">
        <f>R129/N129</f>
        <v>5</v>
      </c>
      <c r="T129" s="32">
        <f>O129/R129</f>
        <v>0.97499999999999998</v>
      </c>
      <c r="U129" s="32">
        <f>P129/R129</f>
        <v>2.5000000000000001E-2</v>
      </c>
      <c r="V129" s="32">
        <f>Q129/R129</f>
        <v>0</v>
      </c>
      <c r="W129" s="31">
        <f>P129/O129</f>
        <v>2.564102564102564E-2</v>
      </c>
      <c r="X129" s="31">
        <f>Q129/(O129+P129)</f>
        <v>0</v>
      </c>
      <c r="Y129" s="65">
        <f>R129/R$488</f>
        <v>3.4859501683423436E-4</v>
      </c>
      <c r="Z129" s="30">
        <v>113</v>
      </c>
      <c r="AA129" s="30">
        <v>118</v>
      </c>
      <c r="AB129" s="29">
        <v>187</v>
      </c>
      <c r="AC129" s="34">
        <f>Z129/R129</f>
        <v>0.94166666666666665</v>
      </c>
      <c r="AD129" s="34">
        <f>AA129/Z129</f>
        <v>1.0442477876106195</v>
      </c>
      <c r="AE129" s="34">
        <f>AB129/AA129</f>
        <v>1.5847457627118644</v>
      </c>
      <c r="AF129" s="35">
        <f>AB129/R129</f>
        <v>1.5583333333333333</v>
      </c>
      <c r="AG129" s="29">
        <f>0.6*Z129+0.4*AA129</f>
        <v>115</v>
      </c>
      <c r="AH129" s="54">
        <v>639</v>
      </c>
      <c r="AI129" s="59">
        <f>AH129/AG129</f>
        <v>5.5565217391304351</v>
      </c>
      <c r="AJ129" s="61">
        <f>AI129/AI$488</f>
        <v>1.1807849088190689</v>
      </c>
    </row>
    <row r="130" spans="1:36" ht="15" customHeight="1" x14ac:dyDescent="0.2">
      <c r="A130" s="28" t="s">
        <v>298</v>
      </c>
      <c r="B130" s="28"/>
      <c r="C130" s="28" t="s">
        <v>119</v>
      </c>
      <c r="D130" s="28">
        <v>31</v>
      </c>
      <c r="E130" s="27"/>
      <c r="F130" s="27"/>
      <c r="G130" s="27" t="s">
        <v>332</v>
      </c>
      <c r="H130" s="27">
        <v>18</v>
      </c>
      <c r="I130" s="27" t="s">
        <v>620</v>
      </c>
      <c r="J130" s="27">
        <v>10</v>
      </c>
      <c r="K130" s="27">
        <v>3</v>
      </c>
      <c r="L130" s="27">
        <v>16</v>
      </c>
      <c r="M130" s="29">
        <v>3</v>
      </c>
      <c r="N130" s="30">
        <v>3</v>
      </c>
      <c r="O130" s="30">
        <v>20</v>
      </c>
      <c r="P130" s="30">
        <v>0</v>
      </c>
      <c r="Q130" s="30">
        <v>9</v>
      </c>
      <c r="R130" s="30">
        <v>29</v>
      </c>
      <c r="S130" s="31">
        <f>R130/N130</f>
        <v>9.6666666666666661</v>
      </c>
      <c r="T130" s="32">
        <f>O130/R130</f>
        <v>0.68965517241379315</v>
      </c>
      <c r="U130" s="32">
        <f>P130/R130</f>
        <v>0</v>
      </c>
      <c r="V130" s="32">
        <f>Q130/R130</f>
        <v>0.31034482758620691</v>
      </c>
      <c r="W130" s="31">
        <f>P130/O130</f>
        <v>0</v>
      </c>
      <c r="X130" s="31">
        <f>Q130/(O130+P130)</f>
        <v>0.45</v>
      </c>
      <c r="Y130" s="65">
        <f>R130/R$488</f>
        <v>8.4243795734939962E-5</v>
      </c>
      <c r="Z130" s="30">
        <v>34</v>
      </c>
      <c r="AA130" s="30">
        <v>40</v>
      </c>
      <c r="AB130" s="29">
        <v>43</v>
      </c>
      <c r="AC130" s="34">
        <f>Z130/R130</f>
        <v>1.1724137931034482</v>
      </c>
      <c r="AD130" s="34">
        <f>AA130/Z130</f>
        <v>1.1764705882352942</v>
      </c>
      <c r="AE130" s="34">
        <f>AB130/AA130</f>
        <v>1.075</v>
      </c>
      <c r="AF130" s="35">
        <f>AB130/R130</f>
        <v>1.4827586206896552</v>
      </c>
      <c r="AG130" s="29">
        <f>0.6*Z130+0.4*AA130</f>
        <v>36.4</v>
      </c>
      <c r="AH130" s="54">
        <v>372</v>
      </c>
      <c r="AI130" s="59">
        <f>AH130/AG130</f>
        <v>10.219780219780221</v>
      </c>
      <c r="AJ130" s="61">
        <f>AI130/AI$488</f>
        <v>2.1717475106742925</v>
      </c>
    </row>
    <row r="131" spans="1:36" ht="15" customHeight="1" x14ac:dyDescent="0.2">
      <c r="A131" s="27" t="s">
        <v>17</v>
      </c>
      <c r="B131" s="27"/>
      <c r="C131" s="27" t="s">
        <v>17</v>
      </c>
      <c r="D131" s="27">
        <v>8</v>
      </c>
      <c r="E131" s="27" t="s">
        <v>420</v>
      </c>
      <c r="F131" s="27"/>
      <c r="G131" s="27" t="s">
        <v>201</v>
      </c>
      <c r="H131" s="27">
        <v>3</v>
      </c>
      <c r="I131" s="27" t="s">
        <v>621</v>
      </c>
      <c r="J131" s="27">
        <v>7</v>
      </c>
      <c r="K131" s="27">
        <v>6</v>
      </c>
      <c r="L131" s="27">
        <v>11</v>
      </c>
      <c r="M131" s="29">
        <v>1045</v>
      </c>
      <c r="N131" s="30">
        <v>1076</v>
      </c>
      <c r="O131" s="30">
        <v>1609</v>
      </c>
      <c r="P131" s="30">
        <v>3166</v>
      </c>
      <c r="Q131" s="30">
        <v>154</v>
      </c>
      <c r="R131" s="30">
        <v>4929</v>
      </c>
      <c r="S131" s="31">
        <f>R131/N131</f>
        <v>4.5808550185873607</v>
      </c>
      <c r="T131" s="32">
        <f>O131/R131</f>
        <v>0.32643538243051329</v>
      </c>
      <c r="U131" s="32">
        <f>P131/R131</f>
        <v>0.64232095759788999</v>
      </c>
      <c r="V131" s="32">
        <f>Q131/R131</f>
        <v>3.1243659971596671E-2</v>
      </c>
      <c r="W131" s="31">
        <f>P131/O131</f>
        <v>1.9676817899316346</v>
      </c>
      <c r="X131" s="31">
        <f>Q131/(O131+P131)</f>
        <v>3.2251308900523558E-2</v>
      </c>
      <c r="Y131" s="65">
        <f>R131/R$488</f>
        <v>1.4318540316466176E-2</v>
      </c>
      <c r="Z131" s="30">
        <v>5178</v>
      </c>
      <c r="AA131" s="30">
        <v>5515</v>
      </c>
      <c r="AB131" s="29">
        <v>5922</v>
      </c>
      <c r="AC131" s="34">
        <f>Z131/R131</f>
        <v>1.0505173463177115</v>
      </c>
      <c r="AD131" s="34">
        <f>AA131/Z131</f>
        <v>1.0650830436461955</v>
      </c>
      <c r="AE131" s="34">
        <f>AB131/AA131</f>
        <v>1.0737987307343608</v>
      </c>
      <c r="AF131" s="35">
        <f>AB131/R131</f>
        <v>1.2014607425441266</v>
      </c>
      <c r="AG131" s="29">
        <f>0.6*Z131+0.4*AA131</f>
        <v>5312.7999999999993</v>
      </c>
      <c r="AH131" s="54">
        <v>19011</v>
      </c>
      <c r="AI131" s="59">
        <f>AH131/AG131</f>
        <v>3.5783391055563927</v>
      </c>
      <c r="AJ131" s="61">
        <f>AI131/AI$488</f>
        <v>0.76041254094676547</v>
      </c>
    </row>
    <row r="132" spans="1:36" ht="15" customHeight="1" x14ac:dyDescent="0.2">
      <c r="A132" s="28" t="s">
        <v>299</v>
      </c>
      <c r="B132" s="28"/>
      <c r="C132" s="28" t="s">
        <v>119</v>
      </c>
      <c r="D132" s="28">
        <v>31</v>
      </c>
      <c r="E132" s="27"/>
      <c r="F132" s="27"/>
      <c r="G132" s="27" t="s">
        <v>332</v>
      </c>
      <c r="H132" s="27">
        <v>18</v>
      </c>
      <c r="I132" s="27" t="s">
        <v>621</v>
      </c>
      <c r="J132" s="27">
        <v>7</v>
      </c>
      <c r="K132" s="27">
        <v>2</v>
      </c>
      <c r="L132" s="27">
        <v>20</v>
      </c>
      <c r="M132" s="29">
        <v>87</v>
      </c>
      <c r="N132" s="30">
        <v>110</v>
      </c>
      <c r="O132" s="30">
        <v>170</v>
      </c>
      <c r="P132" s="30">
        <v>36</v>
      </c>
      <c r="Q132" s="30">
        <v>350</v>
      </c>
      <c r="R132" s="30">
        <v>556</v>
      </c>
      <c r="S132" s="31">
        <f>R132/N132</f>
        <v>5.0545454545454547</v>
      </c>
      <c r="T132" s="32">
        <f>O132/R132</f>
        <v>0.30575539568345322</v>
      </c>
      <c r="U132" s="32">
        <f>P132/R132</f>
        <v>6.4748201438848921E-2</v>
      </c>
      <c r="V132" s="32">
        <f>Q132/R132</f>
        <v>0.62949640287769781</v>
      </c>
      <c r="W132" s="31">
        <f>P132/O132</f>
        <v>0.21176470588235294</v>
      </c>
      <c r="X132" s="31">
        <f>Q132/(O132+P132)</f>
        <v>1.6990291262135921</v>
      </c>
      <c r="Y132" s="65">
        <f>R132/R$488</f>
        <v>1.6151569113319526E-3</v>
      </c>
      <c r="Z132" s="30">
        <v>590</v>
      </c>
      <c r="AA132" s="30">
        <v>652</v>
      </c>
      <c r="AB132" s="29">
        <v>634</v>
      </c>
      <c r="AC132" s="34">
        <f>Z132/R132</f>
        <v>1.0611510791366907</v>
      </c>
      <c r="AD132" s="34">
        <f>AA132/Z132</f>
        <v>1.1050847457627118</v>
      </c>
      <c r="AE132" s="34">
        <f>AB132/AA132</f>
        <v>0.97239263803680986</v>
      </c>
      <c r="AF132" s="35">
        <f>AB132/R132</f>
        <v>1.1402877697841727</v>
      </c>
      <c r="AG132" s="29">
        <f>0.6*Z132+0.4*AA132</f>
        <v>614.79999999999995</v>
      </c>
      <c r="AH132" s="54">
        <v>3485</v>
      </c>
      <c r="AI132" s="59">
        <f>AH132/AG132</f>
        <v>5.668510084580352</v>
      </c>
      <c r="AJ132" s="61">
        <f>AI132/AI$488</f>
        <v>1.2045829167238438</v>
      </c>
    </row>
    <row r="133" spans="1:36" ht="15" customHeight="1" x14ac:dyDescent="0.2">
      <c r="A133" s="28" t="s">
        <v>203</v>
      </c>
      <c r="B133" s="28"/>
      <c r="C133" s="28" t="s">
        <v>122</v>
      </c>
      <c r="D133" s="28">
        <v>15</v>
      </c>
      <c r="E133" s="27" t="s">
        <v>420</v>
      </c>
      <c r="F133" s="27"/>
      <c r="G133" s="27" t="s">
        <v>206</v>
      </c>
      <c r="H133" s="27">
        <v>16</v>
      </c>
      <c r="I133" s="27" t="s">
        <v>621</v>
      </c>
      <c r="J133" s="27">
        <v>7</v>
      </c>
      <c r="K133" s="27">
        <v>6</v>
      </c>
      <c r="L133" s="27">
        <v>14</v>
      </c>
      <c r="M133" s="29">
        <v>615</v>
      </c>
      <c r="N133" s="30">
        <v>655</v>
      </c>
      <c r="O133" s="30">
        <v>527</v>
      </c>
      <c r="P133" s="30">
        <v>1030</v>
      </c>
      <c r="Q133" s="30">
        <v>1581</v>
      </c>
      <c r="R133" s="30">
        <v>3138</v>
      </c>
      <c r="S133" s="31">
        <f>R133/N133</f>
        <v>4.7908396946564888</v>
      </c>
      <c r="T133" s="32">
        <f>O133/R133</f>
        <v>0.16794136392606757</v>
      </c>
      <c r="U133" s="32">
        <f>P133/R133</f>
        <v>0.32823454429572979</v>
      </c>
      <c r="V133" s="32">
        <f>Q133/R133</f>
        <v>0.50382409177820264</v>
      </c>
      <c r="W133" s="31">
        <f>P133/O133</f>
        <v>1.954459203036053</v>
      </c>
      <c r="X133" s="31">
        <f>Q133/(O133+P133)</f>
        <v>1.0154142581888246</v>
      </c>
      <c r="Y133" s="65">
        <f>R133/R$488</f>
        <v>9.115759690215228E-3</v>
      </c>
      <c r="Z133" s="30">
        <v>2917</v>
      </c>
      <c r="AA133" s="30">
        <v>3410</v>
      </c>
      <c r="AB133" s="29">
        <v>3813</v>
      </c>
      <c r="AC133" s="34">
        <f>Z133/R133</f>
        <v>0.92957297641810066</v>
      </c>
      <c r="AD133" s="34">
        <f>AA133/Z133</f>
        <v>1.1690092560850189</v>
      </c>
      <c r="AE133" s="34">
        <f>AB133/AA133</f>
        <v>1.1181818181818182</v>
      </c>
      <c r="AF133" s="35">
        <f>AB133/R133</f>
        <v>1.2151051625239007</v>
      </c>
      <c r="AG133" s="29">
        <f>0.6*Z133+0.4*AA133</f>
        <v>3114.2</v>
      </c>
      <c r="AH133" s="54">
        <v>11872</v>
      </c>
      <c r="AI133" s="59">
        <f>AH133/AG133</f>
        <v>3.8122150150921588</v>
      </c>
      <c r="AJ133" s="61">
        <f>AI133/AI$488</f>
        <v>0.81011218354357162</v>
      </c>
    </row>
    <row r="134" spans="1:36" ht="15" customHeight="1" x14ac:dyDescent="0.2">
      <c r="A134" s="28" t="s">
        <v>218</v>
      </c>
      <c r="B134" s="28"/>
      <c r="C134" s="28" t="s">
        <v>114</v>
      </c>
      <c r="D134" s="27">
        <v>17</v>
      </c>
      <c r="E134" s="27" t="s">
        <v>420</v>
      </c>
      <c r="F134" s="27"/>
      <c r="G134" s="27" t="s">
        <v>333</v>
      </c>
      <c r="H134" s="27">
        <v>22</v>
      </c>
      <c r="I134" s="27" t="s">
        <v>621</v>
      </c>
      <c r="J134" s="27">
        <v>7</v>
      </c>
      <c r="K134" s="27">
        <v>6</v>
      </c>
      <c r="L134" s="27">
        <v>15</v>
      </c>
      <c r="M134" s="29">
        <v>326</v>
      </c>
      <c r="N134" s="30">
        <v>392</v>
      </c>
      <c r="O134" s="30">
        <v>183</v>
      </c>
      <c r="P134" s="30">
        <v>769</v>
      </c>
      <c r="Q134" s="30">
        <v>544</v>
      </c>
      <c r="R134" s="30">
        <v>1496</v>
      </c>
      <c r="S134" s="31">
        <f>R134/N134</f>
        <v>3.8163265306122449</v>
      </c>
      <c r="T134" s="32">
        <f>O134/R134</f>
        <v>0.12232620320855615</v>
      </c>
      <c r="U134" s="32">
        <f>P134/R134</f>
        <v>0.51403743315508021</v>
      </c>
      <c r="V134" s="32">
        <f>Q134/R134</f>
        <v>0.36363636363636365</v>
      </c>
      <c r="W134" s="31">
        <f>P134/O134</f>
        <v>4.2021857923497263</v>
      </c>
      <c r="X134" s="31">
        <f>Q134/(O134+P134)</f>
        <v>0.5714285714285714</v>
      </c>
      <c r="Y134" s="65">
        <f>R134/R$488</f>
        <v>4.3458178765334553E-3</v>
      </c>
      <c r="Z134" s="30">
        <v>1345</v>
      </c>
      <c r="AA134" s="30">
        <v>1357</v>
      </c>
      <c r="AB134" s="29">
        <v>1519</v>
      </c>
      <c r="AC134" s="34">
        <f>Z134/R134</f>
        <v>0.89906417112299464</v>
      </c>
      <c r="AD134" s="34">
        <f>AA134/Z134</f>
        <v>1.0089219330855019</v>
      </c>
      <c r="AE134" s="34">
        <f>AB134/AA134</f>
        <v>1.1193809874723655</v>
      </c>
      <c r="AF134" s="35">
        <f>AB134/R134</f>
        <v>1.0153743315508021</v>
      </c>
      <c r="AG134" s="29">
        <f>0.6*Z134+0.4*AA134</f>
        <v>1349.8000000000002</v>
      </c>
      <c r="AH134" s="54">
        <v>4778</v>
      </c>
      <c r="AI134" s="59">
        <f>AH134/AG134</f>
        <v>3.5397836716550595</v>
      </c>
      <c r="AJ134" s="61">
        <f>AI134/AI$488</f>
        <v>0.75221934443984595</v>
      </c>
    </row>
    <row r="135" spans="1:36" ht="15" customHeight="1" x14ac:dyDescent="0.2">
      <c r="A135" s="27" t="s">
        <v>468</v>
      </c>
      <c r="B135" s="27"/>
      <c r="C135" s="28" t="s">
        <v>438</v>
      </c>
      <c r="D135" s="28">
        <v>99</v>
      </c>
      <c r="E135" s="27"/>
      <c r="F135" s="27"/>
      <c r="G135" s="27" t="s">
        <v>598</v>
      </c>
      <c r="H135" s="27">
        <v>99</v>
      </c>
      <c r="I135" s="27" t="s">
        <v>618</v>
      </c>
      <c r="J135" s="27">
        <v>6</v>
      </c>
      <c r="K135" s="27" t="s">
        <v>442</v>
      </c>
      <c r="L135" s="27" t="s">
        <v>440</v>
      </c>
      <c r="M135" s="30"/>
      <c r="N135" s="30"/>
      <c r="O135" s="30"/>
      <c r="P135" s="30"/>
      <c r="Q135" s="30"/>
      <c r="R135" s="30">
        <v>430</v>
      </c>
      <c r="S135" s="27"/>
      <c r="T135" s="27"/>
      <c r="U135" s="27"/>
      <c r="V135" s="27"/>
      <c r="W135" s="27"/>
      <c r="X135" s="31"/>
      <c r="Y135" s="65"/>
      <c r="Z135" s="30">
        <v>463</v>
      </c>
      <c r="AA135" s="30">
        <v>522</v>
      </c>
      <c r="AB135" s="30">
        <v>434</v>
      </c>
      <c r="AC135" s="34">
        <f>Z135/R135</f>
        <v>1.0767441860465117</v>
      </c>
      <c r="AD135" s="34">
        <f>AA135/Z135</f>
        <v>1.1274298056155507</v>
      </c>
      <c r="AE135" s="34">
        <f>AB135/AA135</f>
        <v>0.83141762452107282</v>
      </c>
      <c r="AF135" s="35">
        <f>AB135/R135</f>
        <v>1.0093023255813953</v>
      </c>
      <c r="AG135" s="29">
        <f>0.6*Z135+0.4*AA135</f>
        <v>486.6</v>
      </c>
      <c r="AH135" s="66">
        <v>1892</v>
      </c>
      <c r="AI135" s="59">
        <f>AH135/AG135</f>
        <v>3.8882038635429508</v>
      </c>
      <c r="AJ135" s="61">
        <f>AI135/AI$488</f>
        <v>0.82626014259092995</v>
      </c>
    </row>
    <row r="136" spans="1:36" ht="15" customHeight="1" x14ac:dyDescent="0.2">
      <c r="A136" s="27" t="s">
        <v>23</v>
      </c>
      <c r="B136" s="27"/>
      <c r="C136" s="27" t="s">
        <v>110</v>
      </c>
      <c r="D136" s="27">
        <v>26</v>
      </c>
      <c r="E136" s="27"/>
      <c r="F136" s="27"/>
      <c r="G136" s="27" t="s">
        <v>26</v>
      </c>
      <c r="H136" s="27">
        <v>24</v>
      </c>
      <c r="I136" s="27" t="s">
        <v>624</v>
      </c>
      <c r="J136" s="27">
        <v>4</v>
      </c>
      <c r="K136" s="27">
        <v>4</v>
      </c>
      <c r="L136" s="27">
        <v>32</v>
      </c>
      <c r="M136" s="29">
        <v>76</v>
      </c>
      <c r="N136" s="30">
        <v>94</v>
      </c>
      <c r="O136" s="30">
        <v>221</v>
      </c>
      <c r="P136" s="30">
        <v>56</v>
      </c>
      <c r="Q136" s="30">
        <v>209</v>
      </c>
      <c r="R136" s="30">
        <v>486</v>
      </c>
      <c r="S136" s="31">
        <f>R136/N136</f>
        <v>5.1702127659574471</v>
      </c>
      <c r="T136" s="32">
        <f>O136/R136</f>
        <v>0.45473251028806583</v>
      </c>
      <c r="U136" s="32">
        <f>P136/R136</f>
        <v>0.11522633744855967</v>
      </c>
      <c r="V136" s="32">
        <f>Q136/R136</f>
        <v>0.43004115226337447</v>
      </c>
      <c r="W136" s="31">
        <f>P136/O136</f>
        <v>0.25339366515837103</v>
      </c>
      <c r="X136" s="31">
        <f>Q136/(O136+P136)</f>
        <v>0.75451263537906132</v>
      </c>
      <c r="Y136" s="65">
        <f>R136/R$488</f>
        <v>1.4118098181786492E-3</v>
      </c>
      <c r="Z136" s="30">
        <v>575</v>
      </c>
      <c r="AA136" s="30">
        <v>602</v>
      </c>
      <c r="AB136" s="29">
        <v>618</v>
      </c>
      <c r="AC136" s="34">
        <f>Z136/R136</f>
        <v>1.1831275720164609</v>
      </c>
      <c r="AD136" s="34">
        <f>AA136/Z136</f>
        <v>1.0469565217391303</v>
      </c>
      <c r="AE136" s="34">
        <f>AB136/AA136</f>
        <v>1.0265780730897009</v>
      </c>
      <c r="AF136" s="35">
        <f>AB136/R136</f>
        <v>1.271604938271605</v>
      </c>
      <c r="AG136" s="29">
        <f>0.6*Z136+0.4*AA136</f>
        <v>585.79999999999995</v>
      </c>
      <c r="AH136" s="54">
        <v>6755</v>
      </c>
      <c r="AI136" s="59">
        <f>AH136/AG136</f>
        <v>11.531239330829635</v>
      </c>
      <c r="AJ136" s="61">
        <f>AI136/AI$488</f>
        <v>2.4504382455552758</v>
      </c>
    </row>
    <row r="137" spans="1:36" ht="15" customHeight="1" x14ac:dyDescent="0.2">
      <c r="A137" s="28" t="s">
        <v>430</v>
      </c>
      <c r="B137" s="28"/>
      <c r="C137" s="27" t="s">
        <v>112</v>
      </c>
      <c r="D137" s="27">
        <v>6</v>
      </c>
      <c r="E137" s="27" t="s">
        <v>475</v>
      </c>
      <c r="F137" s="27"/>
      <c r="G137" s="27" t="s">
        <v>26</v>
      </c>
      <c r="H137" s="27">
        <v>24</v>
      </c>
      <c r="I137" s="27" t="s">
        <v>624</v>
      </c>
      <c r="J137" s="27">
        <v>4</v>
      </c>
      <c r="K137" s="27">
        <v>4</v>
      </c>
      <c r="L137" s="27">
        <v>96</v>
      </c>
      <c r="M137" s="52">
        <v>161</v>
      </c>
      <c r="N137" s="40">
        <v>304</v>
      </c>
      <c r="O137" s="40">
        <v>25</v>
      </c>
      <c r="P137" s="40">
        <v>499</v>
      </c>
      <c r="Q137" s="40">
        <v>490</v>
      </c>
      <c r="R137" s="40">
        <v>1014</v>
      </c>
      <c r="S137" s="31">
        <f>R137/N137</f>
        <v>3.3355263157894739</v>
      </c>
      <c r="T137" s="32">
        <f>O137/R137</f>
        <v>2.465483234714004E-2</v>
      </c>
      <c r="U137" s="32">
        <f>P137/R137</f>
        <v>0.4921104536489152</v>
      </c>
      <c r="V137" s="32">
        <f>Q137/R137</f>
        <v>0.4832347140039448</v>
      </c>
      <c r="W137" s="31">
        <f>P137/O137</f>
        <v>19.96</v>
      </c>
      <c r="X137" s="31">
        <f>Q137/(O137+P137)</f>
        <v>0.93511450381679384</v>
      </c>
      <c r="Y137" s="65">
        <f>R137/R$488</f>
        <v>2.9456278922492802E-3</v>
      </c>
      <c r="Z137" s="30">
        <v>987</v>
      </c>
      <c r="AA137" s="30">
        <v>1220</v>
      </c>
      <c r="AB137" s="62">
        <v>1246</v>
      </c>
      <c r="AC137" s="34">
        <f>Z137/R137</f>
        <v>0.97337278106508873</v>
      </c>
      <c r="AD137" s="34">
        <f>AA137/Z137</f>
        <v>1.2360688956433636</v>
      </c>
      <c r="AE137" s="34">
        <f>AB137/AA137</f>
        <v>1.021311475409836</v>
      </c>
      <c r="AF137" s="35">
        <f>AB137/R137</f>
        <v>1.2287968441814596</v>
      </c>
      <c r="AG137" s="29">
        <f>0.6*Z137+0.4*AA137</f>
        <v>1080.1999999999998</v>
      </c>
      <c r="AH137" s="58">
        <v>3021</v>
      </c>
      <c r="AI137" s="59">
        <f>AH137/AG137</f>
        <v>2.7967043140159236</v>
      </c>
      <c r="AJ137" s="61">
        <f>AI137/AI$488</f>
        <v>0.59431176614742842</v>
      </c>
    </row>
    <row r="138" spans="1:36" ht="15" customHeight="1" x14ac:dyDescent="0.2">
      <c r="A138" s="28" t="s">
        <v>153</v>
      </c>
      <c r="B138" s="28"/>
      <c r="C138" s="28" t="s">
        <v>112</v>
      </c>
      <c r="D138" s="28">
        <v>6</v>
      </c>
      <c r="E138" s="27" t="s">
        <v>475</v>
      </c>
      <c r="F138" s="27"/>
      <c r="G138" s="27" t="s">
        <v>26</v>
      </c>
      <c r="H138" s="27">
        <v>24</v>
      </c>
      <c r="I138" s="27" t="s">
        <v>624</v>
      </c>
      <c r="J138" s="27">
        <v>4</v>
      </c>
      <c r="K138" s="27">
        <v>4</v>
      </c>
      <c r="L138" s="27">
        <v>94</v>
      </c>
      <c r="M138" s="52">
        <v>115</v>
      </c>
      <c r="N138" s="40">
        <v>218</v>
      </c>
      <c r="O138" s="40">
        <v>18</v>
      </c>
      <c r="P138" s="40">
        <v>358</v>
      </c>
      <c r="Q138" s="40">
        <v>351</v>
      </c>
      <c r="R138" s="30">
        <v>727</v>
      </c>
      <c r="S138" s="31">
        <f>R138/N138</f>
        <v>3.334862385321101</v>
      </c>
      <c r="T138" s="32">
        <f>O138/R138</f>
        <v>2.4759284731774415E-2</v>
      </c>
      <c r="U138" s="32">
        <f>P138/R138</f>
        <v>0.49243466299862448</v>
      </c>
      <c r="V138" s="32">
        <f>Q138/R138</f>
        <v>0.4828060522696011</v>
      </c>
      <c r="W138" s="31">
        <f>P138/O138</f>
        <v>19.888888888888889</v>
      </c>
      <c r="X138" s="31">
        <f>Q138/(O138+P138)</f>
        <v>0.93351063829787229</v>
      </c>
      <c r="Y138" s="65">
        <f>R138/R$488</f>
        <v>2.1119048103207367E-3</v>
      </c>
      <c r="Z138" s="30">
        <v>747</v>
      </c>
      <c r="AA138" s="30">
        <v>976</v>
      </c>
      <c r="AB138" s="38">
        <v>1035</v>
      </c>
      <c r="AC138" s="34">
        <f>Z138/R138</f>
        <v>1.0275103163686383</v>
      </c>
      <c r="AD138" s="34">
        <f>AA138/Z138</f>
        <v>1.3065595716198126</v>
      </c>
      <c r="AE138" s="34">
        <f>AB138/AA138</f>
        <v>1.0604508196721312</v>
      </c>
      <c r="AF138" s="35">
        <f>AB138/R138</f>
        <v>1.4236588720770289</v>
      </c>
      <c r="AG138" s="29">
        <f>0.6*Z138+0.4*AA138</f>
        <v>838.6</v>
      </c>
      <c r="AH138" s="56">
        <v>1494</v>
      </c>
      <c r="AI138" s="59">
        <f>AH138/AG138</f>
        <v>1.7815406630097781</v>
      </c>
      <c r="AJ138" s="61">
        <f>AI138/AI$488</f>
        <v>0.37858509839262661</v>
      </c>
    </row>
    <row r="139" spans="1:36" ht="15" customHeight="1" x14ac:dyDescent="0.2">
      <c r="A139" s="28" t="s">
        <v>579</v>
      </c>
      <c r="B139" s="28"/>
      <c r="C139" s="28" t="s">
        <v>112</v>
      </c>
      <c r="D139" s="28">
        <v>6</v>
      </c>
      <c r="E139" s="27" t="s">
        <v>475</v>
      </c>
      <c r="F139" s="27"/>
      <c r="G139" s="27" t="s">
        <v>26</v>
      </c>
      <c r="H139" s="27">
        <v>24</v>
      </c>
      <c r="I139" s="27" t="s">
        <v>624</v>
      </c>
      <c r="J139" s="27">
        <v>4</v>
      </c>
      <c r="K139" s="27">
        <v>4</v>
      </c>
      <c r="L139" s="27">
        <v>95</v>
      </c>
      <c r="M139" s="40">
        <v>266</v>
      </c>
      <c r="N139" s="40">
        <v>501</v>
      </c>
      <c r="O139" s="40">
        <v>41</v>
      </c>
      <c r="P139" s="40">
        <v>822</v>
      </c>
      <c r="Q139" s="40">
        <v>808</v>
      </c>
      <c r="R139" s="30">
        <v>1671</v>
      </c>
      <c r="S139" s="31">
        <f>R139/N139</f>
        <v>3.3353293413173652</v>
      </c>
      <c r="T139" s="32">
        <f>O139/R139</f>
        <v>2.4536205864751647E-2</v>
      </c>
      <c r="U139" s="32">
        <f>P139/R139</f>
        <v>0.49192100538599642</v>
      </c>
      <c r="V139" s="32">
        <f>Q139/R139</f>
        <v>0.48354278874925194</v>
      </c>
      <c r="W139" s="31">
        <f>P139/O139</f>
        <v>20.048780487804876</v>
      </c>
      <c r="X139" s="31">
        <f>Q139/(O139+P139)</f>
        <v>0.93626882966396296</v>
      </c>
      <c r="Y139" s="65">
        <f>R139/R$488</f>
        <v>4.8541856094167137E-3</v>
      </c>
      <c r="Z139" s="30">
        <v>1861</v>
      </c>
      <c r="AA139" s="30">
        <v>2289</v>
      </c>
      <c r="AB139" s="38">
        <v>2316</v>
      </c>
      <c r="AC139" s="34">
        <f>Z139/R139</f>
        <v>1.113704368641532</v>
      </c>
      <c r="AD139" s="34">
        <f>AA139/Z139</f>
        <v>1.229983879634605</v>
      </c>
      <c r="AE139" s="34">
        <f>AB139/AA139</f>
        <v>1.0117955439056356</v>
      </c>
      <c r="AF139" s="35">
        <f>AB139/R139</f>
        <v>1.3859964093357271</v>
      </c>
      <c r="AG139" s="29">
        <f>0.6*Z139+0.4*AA139</f>
        <v>2032.1999999999998</v>
      </c>
      <c r="AH139" s="56">
        <v>3620</v>
      </c>
      <c r="AI139" s="59">
        <f>AH139/AG139</f>
        <v>1.781320736148017</v>
      </c>
      <c r="AJ139" s="61">
        <f>AI139/AI$488</f>
        <v>0.3785383629830299</v>
      </c>
    </row>
    <row r="140" spans="1:36" ht="15" customHeight="1" x14ac:dyDescent="0.2">
      <c r="A140" s="27" t="s">
        <v>197</v>
      </c>
      <c r="B140" s="27"/>
      <c r="C140" s="28" t="s">
        <v>35</v>
      </c>
      <c r="D140" s="28">
        <v>11</v>
      </c>
      <c r="E140" s="27"/>
      <c r="F140" s="27" t="s">
        <v>481</v>
      </c>
      <c r="G140" s="27" t="s">
        <v>106</v>
      </c>
      <c r="H140" s="27">
        <v>12</v>
      </c>
      <c r="I140" s="27" t="s">
        <v>111</v>
      </c>
      <c r="J140" s="27">
        <v>5</v>
      </c>
      <c r="K140" s="27">
        <v>6</v>
      </c>
      <c r="L140" s="27">
        <v>21</v>
      </c>
      <c r="M140" s="29">
        <v>291</v>
      </c>
      <c r="N140" s="30">
        <v>301</v>
      </c>
      <c r="O140" s="30">
        <v>317</v>
      </c>
      <c r="P140" s="30">
        <v>107</v>
      </c>
      <c r="Q140" s="30">
        <v>1000</v>
      </c>
      <c r="R140" s="30">
        <v>1424</v>
      </c>
      <c r="S140" s="31">
        <f>R140/N140</f>
        <v>4.7308970099667773</v>
      </c>
      <c r="T140" s="32">
        <f>O140/R140</f>
        <v>0.2226123595505618</v>
      </c>
      <c r="U140" s="32">
        <f>P140/R140</f>
        <v>7.514044943820225E-2</v>
      </c>
      <c r="V140" s="32">
        <f>Q140/R140</f>
        <v>0.702247191011236</v>
      </c>
      <c r="W140" s="31">
        <f>P140/O140</f>
        <v>0.33753943217665616</v>
      </c>
      <c r="X140" s="31">
        <f>Q140/(O140+P140)</f>
        <v>2.358490566037736</v>
      </c>
      <c r="Y140" s="65">
        <f>R140/R$488</f>
        <v>4.1366608664329145E-3</v>
      </c>
      <c r="Z140" s="30">
        <v>1882</v>
      </c>
      <c r="AA140" s="30">
        <v>2700</v>
      </c>
      <c r="AB140" s="29">
        <v>3151</v>
      </c>
      <c r="AC140" s="34">
        <f>Z140/R140</f>
        <v>1.321629213483146</v>
      </c>
      <c r="AD140" s="34">
        <f>AA140/Z140</f>
        <v>1.434643995749203</v>
      </c>
      <c r="AE140" s="34">
        <f>AB140/AA140</f>
        <v>1.1670370370370371</v>
      </c>
      <c r="AF140" s="35">
        <f>AB140/R140</f>
        <v>2.2127808988764044</v>
      </c>
      <c r="AG140" s="29">
        <f>0.6*Z140+0.4*AA140</f>
        <v>2209.1999999999998</v>
      </c>
      <c r="AH140" s="54">
        <v>9990</v>
      </c>
      <c r="AI140" s="59">
        <f>AH140/AG140</f>
        <v>4.5219989136338947</v>
      </c>
      <c r="AJ140" s="61">
        <f>AI140/AI$488</f>
        <v>0.96094433273120439</v>
      </c>
    </row>
    <row r="141" spans="1:36" ht="15" customHeight="1" x14ac:dyDescent="0.2">
      <c r="A141" s="27" t="s">
        <v>277</v>
      </c>
      <c r="B141" s="27"/>
      <c r="C141" s="28" t="s">
        <v>110</v>
      </c>
      <c r="D141" s="27">
        <v>26</v>
      </c>
      <c r="E141" s="27"/>
      <c r="F141" s="27"/>
      <c r="G141" s="27" t="s">
        <v>26</v>
      </c>
      <c r="H141" s="27">
        <v>24</v>
      </c>
      <c r="I141" s="27" t="s">
        <v>624</v>
      </c>
      <c r="J141" s="27">
        <v>4</v>
      </c>
      <c r="K141" s="27">
        <v>4</v>
      </c>
      <c r="L141" s="27">
        <v>33</v>
      </c>
      <c r="M141" s="29">
        <v>93</v>
      </c>
      <c r="N141" s="30">
        <v>97</v>
      </c>
      <c r="O141" s="30">
        <v>100</v>
      </c>
      <c r="P141" s="30">
        <v>59</v>
      </c>
      <c r="Q141" s="30">
        <v>336</v>
      </c>
      <c r="R141" s="30">
        <v>495</v>
      </c>
      <c r="S141" s="31">
        <f>R141/N141</f>
        <v>5.1030927835051543</v>
      </c>
      <c r="T141" s="32">
        <f>O141/R141</f>
        <v>0.20202020202020202</v>
      </c>
      <c r="U141" s="32">
        <f>P141/R141</f>
        <v>0.1191919191919192</v>
      </c>
      <c r="V141" s="32">
        <f>Q141/R141</f>
        <v>0.67878787878787883</v>
      </c>
      <c r="W141" s="31">
        <f>P141/O141</f>
        <v>0.59</v>
      </c>
      <c r="X141" s="31">
        <f>Q141/(O141+P141)</f>
        <v>2.1132075471698113</v>
      </c>
      <c r="Y141" s="65">
        <f>R141/R$488</f>
        <v>1.4379544444412167E-3</v>
      </c>
      <c r="Z141" s="30">
        <v>519</v>
      </c>
      <c r="AA141" s="30">
        <v>561</v>
      </c>
      <c r="AB141" s="29">
        <v>553</v>
      </c>
      <c r="AC141" s="34">
        <f>Z141/R141</f>
        <v>1.0484848484848486</v>
      </c>
      <c r="AD141" s="34">
        <f>AA141/Z141</f>
        <v>1.0809248554913296</v>
      </c>
      <c r="AE141" s="34">
        <f>AB141/AA141</f>
        <v>0.98573975044563278</v>
      </c>
      <c r="AF141" s="35">
        <f>AB141/R141</f>
        <v>1.1171717171717173</v>
      </c>
      <c r="AG141" s="29">
        <f>0.6*Z141+0.4*AA141</f>
        <v>535.79999999999995</v>
      </c>
      <c r="AH141" s="54">
        <v>3821</v>
      </c>
      <c r="AI141" s="59">
        <f>AH141/AG141</f>
        <v>7.1313923105636441</v>
      </c>
      <c r="AJ141" s="61">
        <f>AI141/AI$488</f>
        <v>1.5154517186321106</v>
      </c>
    </row>
    <row r="142" spans="1:36" ht="15" customHeight="1" x14ac:dyDescent="0.2">
      <c r="A142" s="28" t="s">
        <v>59</v>
      </c>
      <c r="B142" s="28"/>
      <c r="C142" s="28" t="s">
        <v>113</v>
      </c>
      <c r="D142" s="28">
        <v>16</v>
      </c>
      <c r="E142" s="27"/>
      <c r="F142" s="27"/>
      <c r="G142" s="27" t="s">
        <v>73</v>
      </c>
      <c r="H142" s="27">
        <v>11</v>
      </c>
      <c r="I142" s="27" t="s">
        <v>111</v>
      </c>
      <c r="J142" s="27">
        <v>5</v>
      </c>
      <c r="K142" s="27">
        <v>4</v>
      </c>
      <c r="L142" s="27">
        <v>36</v>
      </c>
      <c r="M142" s="29">
        <v>67</v>
      </c>
      <c r="N142" s="30">
        <v>78</v>
      </c>
      <c r="O142" s="30">
        <v>98</v>
      </c>
      <c r="P142" s="30">
        <v>92</v>
      </c>
      <c r="Q142" s="30">
        <v>140</v>
      </c>
      <c r="R142" s="30">
        <v>330</v>
      </c>
      <c r="S142" s="31">
        <f>R142/N142</f>
        <v>4.2307692307692308</v>
      </c>
      <c r="T142" s="32">
        <f>O142/R142</f>
        <v>0.29696969696969699</v>
      </c>
      <c r="U142" s="32">
        <f>P142/R142</f>
        <v>0.27878787878787881</v>
      </c>
      <c r="V142" s="32">
        <f>Q142/R142</f>
        <v>0.42424242424242425</v>
      </c>
      <c r="W142" s="31">
        <f>P142/O142</f>
        <v>0.93877551020408168</v>
      </c>
      <c r="X142" s="31">
        <f>Q142/(O142+P142)</f>
        <v>0.73684210526315785</v>
      </c>
      <c r="Y142" s="65">
        <f>R142/R$488</f>
        <v>9.5863629629414451E-4</v>
      </c>
      <c r="Z142" s="30">
        <v>397</v>
      </c>
      <c r="AA142" s="30">
        <v>412</v>
      </c>
      <c r="AB142" s="29">
        <v>464</v>
      </c>
      <c r="AC142" s="34">
        <f>Z142/R142</f>
        <v>1.2030303030303031</v>
      </c>
      <c r="AD142" s="34">
        <f>AA142/Z142</f>
        <v>1.0377833753148615</v>
      </c>
      <c r="AE142" s="34">
        <f>AB142/AA142</f>
        <v>1.1262135922330097</v>
      </c>
      <c r="AF142" s="35">
        <f>AB142/R142</f>
        <v>1.406060606060606</v>
      </c>
      <c r="AG142" s="29">
        <f>0.6*Z142+0.4*AA142</f>
        <v>403</v>
      </c>
      <c r="AH142" s="54">
        <v>1530</v>
      </c>
      <c r="AI142" s="59">
        <f>AH142/AG142</f>
        <v>3.7965260545905708</v>
      </c>
      <c r="AJ142" s="61">
        <f>AI142/AI$488</f>
        <v>0.80677821156162577</v>
      </c>
    </row>
    <row r="143" spans="1:36" ht="15" customHeight="1" x14ac:dyDescent="0.2">
      <c r="A143" s="28" t="s">
        <v>278</v>
      </c>
      <c r="B143" s="28"/>
      <c r="C143" s="28" t="s">
        <v>110</v>
      </c>
      <c r="D143" s="27">
        <v>26</v>
      </c>
      <c r="E143" s="27"/>
      <c r="F143" s="27"/>
      <c r="G143" s="27" t="s">
        <v>26</v>
      </c>
      <c r="H143" s="27">
        <v>24</v>
      </c>
      <c r="I143" s="27" t="s">
        <v>624</v>
      </c>
      <c r="J143" s="27">
        <v>4</v>
      </c>
      <c r="K143" s="27">
        <v>4</v>
      </c>
      <c r="L143" s="27">
        <v>31</v>
      </c>
      <c r="M143" s="29">
        <v>83</v>
      </c>
      <c r="N143" s="30">
        <v>92</v>
      </c>
      <c r="O143" s="30">
        <v>191</v>
      </c>
      <c r="P143" s="30">
        <v>50</v>
      </c>
      <c r="Q143" s="30">
        <v>337</v>
      </c>
      <c r="R143" s="30">
        <v>578</v>
      </c>
      <c r="S143" s="31">
        <f>R143/N143</f>
        <v>6.2826086956521738</v>
      </c>
      <c r="T143" s="32">
        <f>O143/R143</f>
        <v>0.33044982698961939</v>
      </c>
      <c r="U143" s="32">
        <f>P143/R143</f>
        <v>8.6505190311418678E-2</v>
      </c>
      <c r="V143" s="32">
        <f>Q143/R143</f>
        <v>0.58304498269896199</v>
      </c>
      <c r="W143" s="31">
        <f>P143/O143</f>
        <v>0.26178010471204188</v>
      </c>
      <c r="X143" s="31">
        <f>Q143/(O143+P143)</f>
        <v>1.3983402489626555</v>
      </c>
      <c r="Y143" s="65">
        <f>R143/R$488</f>
        <v>1.6790659977515621E-3</v>
      </c>
      <c r="Z143" s="30">
        <v>630</v>
      </c>
      <c r="AA143" s="30">
        <v>653</v>
      </c>
      <c r="AB143" s="29">
        <v>735</v>
      </c>
      <c r="AC143" s="34">
        <f>Z143/R143</f>
        <v>1.0899653979238755</v>
      </c>
      <c r="AD143" s="34">
        <f>AA143/Z143</f>
        <v>1.0365079365079366</v>
      </c>
      <c r="AE143" s="34">
        <f>AB143/AA143</f>
        <v>1.1255742725880551</v>
      </c>
      <c r="AF143" s="35">
        <f>AB143/R143</f>
        <v>1.2716262975778547</v>
      </c>
      <c r="AG143" s="29">
        <f>0.6*Z143+0.4*AA143</f>
        <v>639.20000000000005</v>
      </c>
      <c r="AH143" s="54">
        <v>4616</v>
      </c>
      <c r="AI143" s="59">
        <f>AH143/AG143</f>
        <v>7.2215269086357941</v>
      </c>
      <c r="AJ143" s="61">
        <f>AI143/AI$488</f>
        <v>1.5346057106729523</v>
      </c>
    </row>
    <row r="144" spans="1:36" ht="15" customHeight="1" x14ac:dyDescent="0.2">
      <c r="A144" s="28" t="s">
        <v>88</v>
      </c>
      <c r="B144" s="28"/>
      <c r="C144" s="27" t="s">
        <v>112</v>
      </c>
      <c r="D144" s="27">
        <v>6</v>
      </c>
      <c r="E144" s="27"/>
      <c r="F144" s="27"/>
      <c r="G144" s="27" t="s">
        <v>26</v>
      </c>
      <c r="H144" s="27">
        <v>24</v>
      </c>
      <c r="I144" s="27" t="s">
        <v>624</v>
      </c>
      <c r="J144" s="27">
        <v>4</v>
      </c>
      <c r="K144" s="27">
        <v>4</v>
      </c>
      <c r="L144" s="27">
        <v>35</v>
      </c>
      <c r="M144" s="29">
        <v>128</v>
      </c>
      <c r="N144" s="30">
        <v>150</v>
      </c>
      <c r="O144" s="30">
        <v>209</v>
      </c>
      <c r="P144" s="30">
        <v>159</v>
      </c>
      <c r="Q144" s="30">
        <v>271</v>
      </c>
      <c r="R144" s="30">
        <v>639</v>
      </c>
      <c r="S144" s="31">
        <f>R144/N144</f>
        <v>4.26</v>
      </c>
      <c r="T144" s="32">
        <f>O144/R144</f>
        <v>0.3270735524256651</v>
      </c>
      <c r="U144" s="32">
        <f>P144/R144</f>
        <v>0.24882629107981222</v>
      </c>
      <c r="V144" s="32">
        <f>Q144/R144</f>
        <v>0.42410015649452271</v>
      </c>
      <c r="W144" s="31">
        <f>P144/O144</f>
        <v>0.76076555023923442</v>
      </c>
      <c r="X144" s="31">
        <f>Q144/(O144+P144)</f>
        <v>0.73641304347826086</v>
      </c>
      <c r="Y144" s="65">
        <f>R144/R$488</f>
        <v>1.8562684646422978E-3</v>
      </c>
      <c r="Z144" s="30">
        <v>690</v>
      </c>
      <c r="AA144" s="30">
        <v>704</v>
      </c>
      <c r="AB144" s="29">
        <v>816</v>
      </c>
      <c r="AC144" s="34">
        <f>Z144/R144</f>
        <v>1.07981220657277</v>
      </c>
      <c r="AD144" s="34">
        <f>AA144/Z144</f>
        <v>1.0202898550724637</v>
      </c>
      <c r="AE144" s="34">
        <f>AB144/AA144</f>
        <v>1.1590909090909092</v>
      </c>
      <c r="AF144" s="35">
        <f>AB144/R144</f>
        <v>1.2769953051643192</v>
      </c>
      <c r="AG144" s="29">
        <f>0.6*Z144+0.4*AA144</f>
        <v>695.6</v>
      </c>
      <c r="AH144" s="54">
        <v>4800</v>
      </c>
      <c r="AI144" s="59">
        <f>AH144/AG144</f>
        <v>6.9005175388154107</v>
      </c>
      <c r="AJ144" s="61">
        <f>AI144/AI$488</f>
        <v>1.4663898307990175</v>
      </c>
    </row>
    <row r="145" spans="1:36" ht="15" customHeight="1" x14ac:dyDescent="0.2">
      <c r="A145" s="28" t="s">
        <v>422</v>
      </c>
      <c r="B145" s="28"/>
      <c r="C145" s="27" t="s">
        <v>112</v>
      </c>
      <c r="D145" s="27">
        <v>6</v>
      </c>
      <c r="E145" s="27" t="s">
        <v>475</v>
      </c>
      <c r="F145" s="27"/>
      <c r="G145" s="27" t="s">
        <v>287</v>
      </c>
      <c r="H145" s="27">
        <v>25</v>
      </c>
      <c r="I145" s="27" t="s">
        <v>624</v>
      </c>
      <c r="J145" s="27">
        <v>4</v>
      </c>
      <c r="K145" s="27">
        <v>4</v>
      </c>
      <c r="L145" s="27">
        <v>34</v>
      </c>
      <c r="M145" s="29">
        <v>84</v>
      </c>
      <c r="N145" s="30">
        <v>136</v>
      </c>
      <c r="O145" s="30">
        <v>59</v>
      </c>
      <c r="P145" s="30">
        <v>122</v>
      </c>
      <c r="Q145" s="30">
        <v>427</v>
      </c>
      <c r="R145" s="30">
        <v>608</v>
      </c>
      <c r="S145" s="31">
        <f>R145/N145</f>
        <v>4.4705882352941178</v>
      </c>
      <c r="T145" s="32">
        <f>O145/R145</f>
        <v>9.7039473684210523E-2</v>
      </c>
      <c r="U145" s="32">
        <f>P145/R145</f>
        <v>0.20065789473684212</v>
      </c>
      <c r="V145" s="32">
        <f>Q145/R145</f>
        <v>0.70230263157894735</v>
      </c>
      <c r="W145" s="31">
        <f>P145/O145</f>
        <v>2.0677966101694913</v>
      </c>
      <c r="X145" s="31">
        <f>Q145/(O145+P145)</f>
        <v>2.3591160220994474</v>
      </c>
      <c r="Y145" s="65">
        <f>R145/R$488</f>
        <v>1.7662147519601208E-3</v>
      </c>
      <c r="Z145" s="30">
        <v>942</v>
      </c>
      <c r="AA145" s="30">
        <v>885</v>
      </c>
      <c r="AB145" s="29">
        <v>1038</v>
      </c>
      <c r="AC145" s="34">
        <f>Z145/R145</f>
        <v>1.549342105263158</v>
      </c>
      <c r="AD145" s="34">
        <f>AA145/Z145</f>
        <v>0.93949044585987262</v>
      </c>
      <c r="AE145" s="34">
        <f>AB145/AA145</f>
        <v>1.1728813559322033</v>
      </c>
      <c r="AF145" s="35">
        <f>AB145/R145</f>
        <v>1.7072368421052631</v>
      </c>
      <c r="AG145" s="29">
        <f>0.6*Z145+0.4*AA145</f>
        <v>919.19999999999993</v>
      </c>
      <c r="AH145" s="54">
        <v>1779</v>
      </c>
      <c r="AI145" s="59">
        <f>AH145/AG145</f>
        <v>1.9353785900783291</v>
      </c>
      <c r="AJ145" s="61">
        <f>AI145/AI$488</f>
        <v>0.41127632344576226</v>
      </c>
    </row>
    <row r="146" spans="1:36" ht="15" customHeight="1" x14ac:dyDescent="0.2">
      <c r="A146" s="27" t="s">
        <v>56</v>
      </c>
      <c r="B146" s="27"/>
      <c r="C146" s="28" t="s">
        <v>35</v>
      </c>
      <c r="D146" s="28">
        <v>11</v>
      </c>
      <c r="E146" s="27"/>
      <c r="F146" s="27"/>
      <c r="G146" s="27" t="s">
        <v>50</v>
      </c>
      <c r="H146" s="27">
        <v>7</v>
      </c>
      <c r="I146" s="27" t="s">
        <v>111</v>
      </c>
      <c r="J146" s="27">
        <v>5</v>
      </c>
      <c r="K146" s="27">
        <v>2</v>
      </c>
      <c r="L146" s="27">
        <v>31</v>
      </c>
      <c r="M146" s="29">
        <v>49</v>
      </c>
      <c r="N146" s="30">
        <v>55</v>
      </c>
      <c r="O146" s="30">
        <v>311</v>
      </c>
      <c r="P146" s="30">
        <v>6</v>
      </c>
      <c r="Q146" s="30">
        <v>0</v>
      </c>
      <c r="R146" s="30">
        <v>317</v>
      </c>
      <c r="S146" s="31">
        <f>R146/N146</f>
        <v>5.7636363636363637</v>
      </c>
      <c r="T146" s="32">
        <f>O146/R146</f>
        <v>0.98107255520504733</v>
      </c>
      <c r="U146" s="32">
        <f>P146/R146</f>
        <v>1.8927444794952682E-2</v>
      </c>
      <c r="V146" s="32">
        <f>Q146/R146</f>
        <v>0</v>
      </c>
      <c r="W146" s="31">
        <f>P146/O146</f>
        <v>1.9292604501607719E-2</v>
      </c>
      <c r="X146" s="31">
        <f>Q146/(O146+P146)</f>
        <v>0</v>
      </c>
      <c r="Y146" s="65">
        <f>R146/R$488</f>
        <v>9.2087183613710245E-4</v>
      </c>
      <c r="Z146" s="30">
        <v>326</v>
      </c>
      <c r="AA146" s="30">
        <v>356</v>
      </c>
      <c r="AB146" s="29">
        <v>392</v>
      </c>
      <c r="AC146" s="34">
        <f>Z146/R146</f>
        <v>1.0283911671924291</v>
      </c>
      <c r="AD146" s="34">
        <f>AA146/Z146</f>
        <v>1.0920245398773005</v>
      </c>
      <c r="AE146" s="34">
        <f>AB146/AA146</f>
        <v>1.101123595505618</v>
      </c>
      <c r="AF146" s="35">
        <f>AB146/R146</f>
        <v>1.2365930599369086</v>
      </c>
      <c r="AG146" s="29">
        <f>0.6*Z146+0.4*AA146</f>
        <v>338</v>
      </c>
      <c r="AH146" s="54">
        <v>2825</v>
      </c>
      <c r="AI146" s="59">
        <f>AH146/AG146</f>
        <v>8.3579881656804726</v>
      </c>
      <c r="AJ146" s="61">
        <f>AI146/AI$488</f>
        <v>1.7761086444823875</v>
      </c>
    </row>
    <row r="147" spans="1:36" ht="15" customHeight="1" x14ac:dyDescent="0.2">
      <c r="A147" s="28" t="s">
        <v>240</v>
      </c>
      <c r="B147" s="28"/>
      <c r="C147" s="28" t="s">
        <v>118</v>
      </c>
      <c r="D147" s="28">
        <v>19</v>
      </c>
      <c r="E147" s="27"/>
      <c r="F147" s="27"/>
      <c r="G147" s="27" t="s">
        <v>427</v>
      </c>
      <c r="H147" s="27">
        <v>23</v>
      </c>
      <c r="I147" s="27" t="s">
        <v>619</v>
      </c>
      <c r="J147" s="27">
        <v>9</v>
      </c>
      <c r="K147" s="27">
        <v>2</v>
      </c>
      <c r="L147" s="27">
        <v>30</v>
      </c>
      <c r="M147" s="29">
        <v>96</v>
      </c>
      <c r="N147" s="30">
        <v>115</v>
      </c>
      <c r="O147" s="30">
        <v>71</v>
      </c>
      <c r="P147" s="30">
        <v>30</v>
      </c>
      <c r="Q147" s="30">
        <v>481</v>
      </c>
      <c r="R147" s="30">
        <v>582</v>
      </c>
      <c r="S147" s="31">
        <f>R147/N147</f>
        <v>5.0608695652173914</v>
      </c>
      <c r="T147" s="32">
        <f>O147/R147</f>
        <v>0.12199312714776632</v>
      </c>
      <c r="U147" s="32">
        <f>P147/R147</f>
        <v>5.1546391752577317E-2</v>
      </c>
      <c r="V147" s="32">
        <f>Q147/R147</f>
        <v>0.82646048109965631</v>
      </c>
      <c r="W147" s="31">
        <f>P147/O147</f>
        <v>0.42253521126760563</v>
      </c>
      <c r="X147" s="31">
        <f>Q147/(O147+P147)</f>
        <v>4.7623762376237622</v>
      </c>
      <c r="Y147" s="65">
        <f>R147/R$488</f>
        <v>1.6906858316460367E-3</v>
      </c>
      <c r="Z147" s="30">
        <v>490</v>
      </c>
      <c r="AA147" s="30">
        <v>748</v>
      </c>
      <c r="AB147" s="29">
        <v>870</v>
      </c>
      <c r="AC147" s="34">
        <f>Z147/R147</f>
        <v>0.84192439862542956</v>
      </c>
      <c r="AD147" s="34">
        <f>AA147/Z147</f>
        <v>1.5265306122448981</v>
      </c>
      <c r="AE147" s="34">
        <f>AB147/AA147</f>
        <v>1.1631016042780749</v>
      </c>
      <c r="AF147" s="35">
        <f>AB147/R147</f>
        <v>1.4948453608247423</v>
      </c>
      <c r="AG147" s="29">
        <f>0.6*Z147+0.4*AA147</f>
        <v>593.20000000000005</v>
      </c>
      <c r="AH147" s="54">
        <v>2392</v>
      </c>
      <c r="AI147" s="59">
        <f>AH147/AG147</f>
        <v>4.0323668240053943</v>
      </c>
      <c r="AJ147" s="61">
        <f>AI147/AI$488</f>
        <v>0.85689539538333104</v>
      </c>
    </row>
    <row r="148" spans="1:36" ht="15" customHeight="1" x14ac:dyDescent="0.2">
      <c r="A148" s="28" t="s">
        <v>241</v>
      </c>
      <c r="B148" s="28"/>
      <c r="C148" s="28" t="s">
        <v>118</v>
      </c>
      <c r="D148" s="28">
        <v>19</v>
      </c>
      <c r="E148" s="27"/>
      <c r="F148" s="27"/>
      <c r="G148" s="27" t="s">
        <v>427</v>
      </c>
      <c r="H148" s="27">
        <v>23</v>
      </c>
      <c r="I148" s="27" t="s">
        <v>619</v>
      </c>
      <c r="J148" s="27">
        <v>9</v>
      </c>
      <c r="K148" s="27">
        <v>2</v>
      </c>
      <c r="L148" s="27">
        <v>29</v>
      </c>
      <c r="M148" s="29">
        <v>22</v>
      </c>
      <c r="N148" s="30">
        <v>32</v>
      </c>
      <c r="O148" s="30">
        <v>52</v>
      </c>
      <c r="P148" s="30">
        <v>70</v>
      </c>
      <c r="Q148" s="30">
        <v>62</v>
      </c>
      <c r="R148" s="30">
        <v>184</v>
      </c>
      <c r="S148" s="31">
        <f>R148/N148</f>
        <v>5.75</v>
      </c>
      <c r="T148" s="32">
        <f>O148/R148</f>
        <v>0.28260869565217389</v>
      </c>
      <c r="U148" s="32">
        <f>P148/R148</f>
        <v>0.38043478260869568</v>
      </c>
      <c r="V148" s="32">
        <f>Q148/R148</f>
        <v>0.33695652173913043</v>
      </c>
      <c r="W148" s="31">
        <f>P148/O148</f>
        <v>1.3461538461538463</v>
      </c>
      <c r="X148" s="31">
        <f>Q148/(O148+P148)</f>
        <v>0.50819672131147542</v>
      </c>
      <c r="Y148" s="65">
        <f>R148/R$488</f>
        <v>5.3451235914582604E-4</v>
      </c>
      <c r="Z148" s="30">
        <v>166</v>
      </c>
      <c r="AA148" s="30">
        <v>196</v>
      </c>
      <c r="AB148" s="29">
        <v>195</v>
      </c>
      <c r="AC148" s="34">
        <f>Z148/R148</f>
        <v>0.90217391304347827</v>
      </c>
      <c r="AD148" s="34">
        <f>AA148/Z148</f>
        <v>1.1807228915662651</v>
      </c>
      <c r="AE148" s="34">
        <f>AB148/AA148</f>
        <v>0.99489795918367352</v>
      </c>
      <c r="AF148" s="35">
        <f>AB148/R148</f>
        <v>1.0597826086956521</v>
      </c>
      <c r="AG148" s="29">
        <f>0.6*Z148+0.4*AA148</f>
        <v>178</v>
      </c>
      <c r="AH148" s="54">
        <v>818</v>
      </c>
      <c r="AI148" s="59">
        <f>AH148/AG148</f>
        <v>4.595505617977528</v>
      </c>
      <c r="AJ148" s="61">
        <f>AI148/AI$488</f>
        <v>0.97656482541725853</v>
      </c>
    </row>
    <row r="149" spans="1:36" ht="15" customHeight="1" x14ac:dyDescent="0.2">
      <c r="A149" s="28" t="s">
        <v>242</v>
      </c>
      <c r="B149" s="28"/>
      <c r="C149" s="28" t="s">
        <v>118</v>
      </c>
      <c r="D149" s="28">
        <v>19</v>
      </c>
      <c r="E149" s="27"/>
      <c r="F149" s="27"/>
      <c r="G149" s="27" t="s">
        <v>201</v>
      </c>
      <c r="H149" s="27">
        <v>3</v>
      </c>
      <c r="I149" s="27" t="s">
        <v>621</v>
      </c>
      <c r="J149" s="27">
        <v>7</v>
      </c>
      <c r="K149" s="27">
        <v>2</v>
      </c>
      <c r="L149" s="27">
        <v>61</v>
      </c>
      <c r="M149" s="29">
        <v>44</v>
      </c>
      <c r="N149" s="30">
        <v>55</v>
      </c>
      <c r="O149" s="30">
        <v>87</v>
      </c>
      <c r="P149" s="30">
        <v>10</v>
      </c>
      <c r="Q149" s="30">
        <v>216</v>
      </c>
      <c r="R149" s="30">
        <v>313</v>
      </c>
      <c r="S149" s="31">
        <f>R149/N149</f>
        <v>5.6909090909090905</v>
      </c>
      <c r="T149" s="32">
        <f>O149/R149</f>
        <v>0.27795527156549521</v>
      </c>
      <c r="U149" s="32">
        <f>P149/R149</f>
        <v>3.1948881789137379E-2</v>
      </c>
      <c r="V149" s="32">
        <f>Q149/R149</f>
        <v>0.69009584664536738</v>
      </c>
      <c r="W149" s="31">
        <f>P149/O149</f>
        <v>0.11494252873563218</v>
      </c>
      <c r="X149" s="31">
        <f>Q149/(O149+P149)</f>
        <v>2.2268041237113403</v>
      </c>
      <c r="Y149" s="65">
        <f>R149/R$488</f>
        <v>9.0925200224262789E-4</v>
      </c>
      <c r="Z149" s="30">
        <v>336</v>
      </c>
      <c r="AA149" s="30">
        <v>400</v>
      </c>
      <c r="AB149" s="29">
        <v>407</v>
      </c>
      <c r="AC149" s="34">
        <f>Z149/R149</f>
        <v>1.0734824281150159</v>
      </c>
      <c r="AD149" s="34">
        <f>AA149/Z149</f>
        <v>1.1904761904761905</v>
      </c>
      <c r="AE149" s="34">
        <f>AB149/AA149</f>
        <v>1.0175000000000001</v>
      </c>
      <c r="AF149" s="35">
        <f>AB149/R149</f>
        <v>1.3003194888178913</v>
      </c>
      <c r="AG149" s="29">
        <f>0.6*Z149+0.4*AA149</f>
        <v>361.6</v>
      </c>
      <c r="AH149" s="54">
        <v>1542</v>
      </c>
      <c r="AI149" s="59">
        <f>AH149/AG149</f>
        <v>4.264380530973451</v>
      </c>
      <c r="AJ149" s="61">
        <f>AI149/AI$488</f>
        <v>0.90619931187802727</v>
      </c>
    </row>
    <row r="150" spans="1:36" ht="15" customHeight="1" x14ac:dyDescent="0.2">
      <c r="A150" s="27" t="s">
        <v>31</v>
      </c>
      <c r="B150" s="27"/>
      <c r="C150" s="27" t="s">
        <v>116</v>
      </c>
      <c r="D150" s="27">
        <v>32</v>
      </c>
      <c r="E150" s="27"/>
      <c r="F150" s="27"/>
      <c r="G150" s="27" t="s">
        <v>50</v>
      </c>
      <c r="H150" s="27">
        <v>7</v>
      </c>
      <c r="I150" s="27" t="s">
        <v>622</v>
      </c>
      <c r="J150" s="27">
        <v>8</v>
      </c>
      <c r="K150" s="27">
        <v>2</v>
      </c>
      <c r="L150" s="27">
        <v>34</v>
      </c>
      <c r="M150" s="29">
        <v>187</v>
      </c>
      <c r="N150" s="30">
        <v>191</v>
      </c>
      <c r="O150" s="30">
        <v>258</v>
      </c>
      <c r="P150" s="30">
        <v>33</v>
      </c>
      <c r="Q150" s="30">
        <v>668</v>
      </c>
      <c r="R150" s="30">
        <v>959</v>
      </c>
      <c r="S150" s="31">
        <f>R150/N150</f>
        <v>5.0209424083769632</v>
      </c>
      <c r="T150" s="32">
        <f>O150/R150</f>
        <v>0.26903023983315955</v>
      </c>
      <c r="U150" s="32">
        <f>P150/R150</f>
        <v>3.4410844629822732E-2</v>
      </c>
      <c r="V150" s="32">
        <f>Q150/R150</f>
        <v>0.69655891553701776</v>
      </c>
      <c r="W150" s="31">
        <f>P150/O150</f>
        <v>0.12790697674418605</v>
      </c>
      <c r="X150" s="31">
        <f>Q150/(O150+P150)</f>
        <v>2.2955326460481098</v>
      </c>
      <c r="Y150" s="65">
        <f>R150/R$488</f>
        <v>2.7858551762002561E-3</v>
      </c>
      <c r="Z150" s="30">
        <v>998</v>
      </c>
      <c r="AA150" s="30">
        <v>1188</v>
      </c>
      <c r="AB150" s="29">
        <v>1313</v>
      </c>
      <c r="AC150" s="34">
        <f>Z150/R150</f>
        <v>1.0406673618352451</v>
      </c>
      <c r="AD150" s="34">
        <f>AA150/Z150</f>
        <v>1.1903807615230462</v>
      </c>
      <c r="AE150" s="34">
        <f>AB150/AA150</f>
        <v>1.1052188552188553</v>
      </c>
      <c r="AF150" s="35">
        <f>AB150/R150</f>
        <v>1.3691345151199166</v>
      </c>
      <c r="AG150" s="29">
        <f>0.6*Z150+0.4*AA150</f>
        <v>1074</v>
      </c>
      <c r="AH150" s="54">
        <v>5618</v>
      </c>
      <c r="AI150" s="59">
        <f>AH150/AG150</f>
        <v>5.2309124767225326</v>
      </c>
      <c r="AJ150" s="61">
        <f>AI150/AI$488</f>
        <v>1.11159153186971</v>
      </c>
    </row>
    <row r="151" spans="1:36" ht="15" customHeight="1" x14ac:dyDescent="0.2">
      <c r="A151" s="28" t="s">
        <v>193</v>
      </c>
      <c r="B151" s="28"/>
      <c r="C151" s="28" t="s">
        <v>35</v>
      </c>
      <c r="D151" s="28">
        <v>11</v>
      </c>
      <c r="E151" s="27"/>
      <c r="F151" s="27"/>
      <c r="G151" s="27" t="s">
        <v>106</v>
      </c>
      <c r="H151" s="27">
        <v>12</v>
      </c>
      <c r="I151" s="27" t="s">
        <v>111</v>
      </c>
      <c r="J151" s="27">
        <v>5</v>
      </c>
      <c r="K151" s="27">
        <v>2</v>
      </c>
      <c r="L151" s="27">
        <v>32</v>
      </c>
      <c r="M151" s="29">
        <v>34</v>
      </c>
      <c r="N151" s="30">
        <v>39</v>
      </c>
      <c r="O151" s="30">
        <v>42</v>
      </c>
      <c r="P151" s="30">
        <v>12</v>
      </c>
      <c r="Q151" s="30">
        <v>129</v>
      </c>
      <c r="R151" s="30">
        <v>183</v>
      </c>
      <c r="S151" s="31">
        <f>R151/N151</f>
        <v>4.6923076923076925</v>
      </c>
      <c r="T151" s="32">
        <f>O151/R151</f>
        <v>0.22950819672131148</v>
      </c>
      <c r="U151" s="32">
        <f>P151/R151</f>
        <v>6.5573770491803282E-2</v>
      </c>
      <c r="V151" s="32">
        <f>Q151/R151</f>
        <v>0.70491803278688525</v>
      </c>
      <c r="W151" s="31">
        <f>P151/O151</f>
        <v>0.2857142857142857</v>
      </c>
      <c r="X151" s="31">
        <f>Q151/(O151+P151)</f>
        <v>2.3888888888888888</v>
      </c>
      <c r="Y151" s="65">
        <f>R151/R$488</f>
        <v>5.3160740067220735E-4</v>
      </c>
      <c r="Z151" s="30">
        <v>167</v>
      </c>
      <c r="AA151" s="30">
        <v>200</v>
      </c>
      <c r="AB151" s="29">
        <v>182</v>
      </c>
      <c r="AC151" s="34">
        <f>Z151/R151</f>
        <v>0.91256830601092898</v>
      </c>
      <c r="AD151" s="34">
        <f>AA151/Z151</f>
        <v>1.1976047904191616</v>
      </c>
      <c r="AE151" s="34">
        <f>AB151/AA151</f>
        <v>0.91</v>
      </c>
      <c r="AF151" s="35">
        <f>AB151/R151</f>
        <v>0.99453551912568305</v>
      </c>
      <c r="AG151" s="29">
        <f>0.6*Z151+0.4*AA151</f>
        <v>180.2</v>
      </c>
      <c r="AH151" s="54">
        <v>1158</v>
      </c>
      <c r="AI151" s="59">
        <f>AH151/AG151</f>
        <v>6.4261931187569372</v>
      </c>
      <c r="AJ151" s="61">
        <f>AI151/AI$488</f>
        <v>1.3655938394605491</v>
      </c>
    </row>
    <row r="152" spans="1:36" ht="15" customHeight="1" x14ac:dyDescent="0.2">
      <c r="A152" s="28" t="s">
        <v>219</v>
      </c>
      <c r="B152" s="28">
        <v>5</v>
      </c>
      <c r="C152" s="28" t="s">
        <v>114</v>
      </c>
      <c r="D152" s="27">
        <v>17</v>
      </c>
      <c r="E152" s="27"/>
      <c r="F152" s="27"/>
      <c r="G152" s="27" t="s">
        <v>219</v>
      </c>
      <c r="H152" s="27">
        <v>6</v>
      </c>
      <c r="I152" s="27" t="s">
        <v>618</v>
      </c>
      <c r="J152" s="27">
        <v>6</v>
      </c>
      <c r="K152" s="27">
        <v>7</v>
      </c>
      <c r="L152" s="27">
        <v>12</v>
      </c>
      <c r="M152" s="37">
        <v>65</v>
      </c>
      <c r="N152" s="40">
        <v>65</v>
      </c>
      <c r="O152" s="30">
        <v>111</v>
      </c>
      <c r="P152" s="30">
        <v>15</v>
      </c>
      <c r="Q152" s="30">
        <v>267</v>
      </c>
      <c r="R152" s="30">
        <v>393</v>
      </c>
      <c r="S152" s="31">
        <f>R152/N152</f>
        <v>6.046153846153846</v>
      </c>
      <c r="T152" s="32">
        <f>O152/R152</f>
        <v>0.28244274809160308</v>
      </c>
      <c r="U152" s="32">
        <f>P152/R152</f>
        <v>3.8167938931297711E-2</v>
      </c>
      <c r="V152" s="32">
        <f>Q152/R152</f>
        <v>0.67938931297709926</v>
      </c>
      <c r="W152" s="31">
        <f>P152/O152</f>
        <v>0.13513513513513514</v>
      </c>
      <c r="X152" s="31">
        <f>Q152/(O152+P152)</f>
        <v>2.1190476190476191</v>
      </c>
      <c r="Y152" s="65">
        <f>R152/R$488</f>
        <v>1.1416486801321176E-3</v>
      </c>
      <c r="Z152" s="30">
        <v>390</v>
      </c>
      <c r="AA152" s="30">
        <v>441</v>
      </c>
      <c r="AB152" s="29">
        <v>414</v>
      </c>
      <c r="AC152" s="34">
        <f>Z152/R152</f>
        <v>0.99236641221374045</v>
      </c>
      <c r="AD152" s="34">
        <f>AA152/Z152</f>
        <v>1.1307692307692307</v>
      </c>
      <c r="AE152" s="34">
        <f>AB152/AA152</f>
        <v>0.93877551020408168</v>
      </c>
      <c r="AF152" s="35">
        <f>AB152/R152</f>
        <v>1.0534351145038168</v>
      </c>
      <c r="AG152" s="29">
        <f>0.6*Z152+0.4*AA152</f>
        <v>410.4</v>
      </c>
      <c r="AH152" s="54">
        <v>2905</v>
      </c>
      <c r="AI152" s="59">
        <f>AH152/AG152</f>
        <v>7.0784600389863552</v>
      </c>
      <c r="AJ152" s="61">
        <f>AI152/AI$488</f>
        <v>1.5042033819203469</v>
      </c>
    </row>
    <row r="153" spans="1:36" ht="15" customHeight="1" x14ac:dyDescent="0.2">
      <c r="A153" s="28" t="s">
        <v>50</v>
      </c>
      <c r="B153" s="28"/>
      <c r="C153" s="28" t="s">
        <v>116</v>
      </c>
      <c r="D153" s="27">
        <v>32</v>
      </c>
      <c r="E153" s="27"/>
      <c r="F153" s="27"/>
      <c r="G153" s="27" t="s">
        <v>50</v>
      </c>
      <c r="H153" s="27">
        <v>7</v>
      </c>
      <c r="I153" s="27" t="s">
        <v>111</v>
      </c>
      <c r="J153" s="27">
        <v>5</v>
      </c>
      <c r="K153" s="27">
        <v>2</v>
      </c>
      <c r="L153" s="27">
        <v>33</v>
      </c>
      <c r="M153" s="29">
        <v>96</v>
      </c>
      <c r="N153" s="30">
        <v>128</v>
      </c>
      <c r="O153" s="30">
        <v>348</v>
      </c>
      <c r="P153" s="30">
        <v>124</v>
      </c>
      <c r="Q153" s="30">
        <v>189</v>
      </c>
      <c r="R153" s="30">
        <v>661</v>
      </c>
      <c r="S153" s="31">
        <f>R153/N153</f>
        <v>5.1640625</v>
      </c>
      <c r="T153" s="32">
        <f>O153/R153</f>
        <v>0.52647503782148264</v>
      </c>
      <c r="U153" s="32">
        <f>P153/R153</f>
        <v>0.1875945537065053</v>
      </c>
      <c r="V153" s="32">
        <f>Q153/R153</f>
        <v>0.28593040847201212</v>
      </c>
      <c r="W153" s="31">
        <f>P153/O153</f>
        <v>0.35632183908045978</v>
      </c>
      <c r="X153" s="31">
        <f>Q153/(O153+P153)</f>
        <v>0.40042372881355931</v>
      </c>
      <c r="Y153" s="65">
        <f>R153/R$488</f>
        <v>1.9201775510619076E-3</v>
      </c>
      <c r="Z153" s="30">
        <v>708</v>
      </c>
      <c r="AA153" s="30">
        <v>819</v>
      </c>
      <c r="AB153" s="29">
        <v>903</v>
      </c>
      <c r="AC153" s="34">
        <f>Z153/R153</f>
        <v>1.0711043872919819</v>
      </c>
      <c r="AD153" s="34">
        <f>AA153/Z153</f>
        <v>1.1567796610169492</v>
      </c>
      <c r="AE153" s="34">
        <f>AB153/AA153</f>
        <v>1.1025641025641026</v>
      </c>
      <c r="AF153" s="35">
        <f>AB153/R153</f>
        <v>1.3661119515885023</v>
      </c>
      <c r="AG153" s="29">
        <f>0.6*Z153+0.4*AA153</f>
        <v>752.40000000000009</v>
      </c>
      <c r="AH153" s="54">
        <v>3856</v>
      </c>
      <c r="AI153" s="59">
        <f>AH153/AG153</f>
        <v>5.1249335459861767</v>
      </c>
      <c r="AJ153" s="61">
        <f>AI153/AI$488</f>
        <v>1.0890705505901779</v>
      </c>
    </row>
    <row r="154" spans="1:36" ht="15" customHeight="1" x14ac:dyDescent="0.2">
      <c r="A154" s="28" t="s">
        <v>225</v>
      </c>
      <c r="B154" s="28"/>
      <c r="C154" s="28" t="s">
        <v>121</v>
      </c>
      <c r="D154" s="28">
        <v>18</v>
      </c>
      <c r="E154" s="27"/>
      <c r="F154" s="27"/>
      <c r="G154" s="27" t="s">
        <v>126</v>
      </c>
      <c r="H154" s="27">
        <v>20</v>
      </c>
      <c r="I154" s="27" t="s">
        <v>622</v>
      </c>
      <c r="J154" s="27">
        <v>8</v>
      </c>
      <c r="K154" s="27">
        <v>4</v>
      </c>
      <c r="L154" s="27">
        <v>30</v>
      </c>
      <c r="M154" s="29">
        <v>25</v>
      </c>
      <c r="N154" s="30">
        <v>28</v>
      </c>
      <c r="O154" s="30">
        <v>69</v>
      </c>
      <c r="P154" s="30">
        <v>3</v>
      </c>
      <c r="Q154" s="30">
        <v>57</v>
      </c>
      <c r="R154" s="30">
        <v>129</v>
      </c>
      <c r="S154" s="31">
        <f>R154/N154</f>
        <v>4.6071428571428568</v>
      </c>
      <c r="T154" s="32">
        <f>O154/R154</f>
        <v>0.53488372093023251</v>
      </c>
      <c r="U154" s="32">
        <f>P154/R154</f>
        <v>2.3255813953488372E-2</v>
      </c>
      <c r="V154" s="32">
        <f>Q154/R154</f>
        <v>0.44186046511627908</v>
      </c>
      <c r="W154" s="31">
        <f>P154/O154</f>
        <v>4.3478260869565216E-2</v>
      </c>
      <c r="X154" s="31">
        <f>Q154/(O154+P154)</f>
        <v>0.79166666666666663</v>
      </c>
      <c r="Y154" s="65">
        <f>R154/R$488</f>
        <v>3.7473964309680196E-4</v>
      </c>
      <c r="Z154" s="30">
        <v>164</v>
      </c>
      <c r="AA154" s="30">
        <v>126</v>
      </c>
      <c r="AB154" s="29">
        <v>207</v>
      </c>
      <c r="AC154" s="34">
        <f>Z154/R154</f>
        <v>1.2713178294573644</v>
      </c>
      <c r="AD154" s="34">
        <f>AA154/Z154</f>
        <v>0.76829268292682928</v>
      </c>
      <c r="AE154" s="34">
        <f>AB154/AA154</f>
        <v>1.6428571428571428</v>
      </c>
      <c r="AF154" s="35">
        <f>AB154/R154</f>
        <v>1.6046511627906976</v>
      </c>
      <c r="AG154" s="29">
        <f>0.6*Z154+0.4*AA154</f>
        <v>148.80000000000001</v>
      </c>
      <c r="AH154" s="54">
        <v>1538</v>
      </c>
      <c r="AI154" s="59">
        <f>AH154/AG154</f>
        <v>10.336021505376344</v>
      </c>
      <c r="AJ154" s="61">
        <f>AI154/AI$488</f>
        <v>2.1964492867596874</v>
      </c>
    </row>
    <row r="155" spans="1:36" ht="15" customHeight="1" x14ac:dyDescent="0.2">
      <c r="A155" s="28" t="s">
        <v>43</v>
      </c>
      <c r="B155" s="28"/>
      <c r="C155" s="28" t="s">
        <v>110</v>
      </c>
      <c r="D155" s="27">
        <v>26</v>
      </c>
      <c r="E155" s="27"/>
      <c r="F155" s="27"/>
      <c r="G155" s="27" t="s">
        <v>287</v>
      </c>
      <c r="H155" s="27">
        <v>25</v>
      </c>
      <c r="I155" s="27" t="s">
        <v>624</v>
      </c>
      <c r="J155" s="27">
        <v>4</v>
      </c>
      <c r="K155" s="27">
        <v>4</v>
      </c>
      <c r="L155" s="27">
        <v>39</v>
      </c>
      <c r="M155" s="29">
        <v>77</v>
      </c>
      <c r="N155" s="30">
        <v>79</v>
      </c>
      <c r="O155" s="30">
        <v>135</v>
      </c>
      <c r="P155" s="30">
        <v>26</v>
      </c>
      <c r="Q155" s="30">
        <v>307</v>
      </c>
      <c r="R155" s="30">
        <v>468</v>
      </c>
      <c r="S155" s="31">
        <f>R155/N155</f>
        <v>5.924050632911392</v>
      </c>
      <c r="T155" s="32">
        <f>O155/R155</f>
        <v>0.28846153846153844</v>
      </c>
      <c r="U155" s="32">
        <f>P155/R155</f>
        <v>5.5555555555555552E-2</v>
      </c>
      <c r="V155" s="32">
        <f>Q155/R155</f>
        <v>0.65598290598290598</v>
      </c>
      <c r="W155" s="31">
        <f>P155/O155</f>
        <v>0.19259259259259259</v>
      </c>
      <c r="X155" s="31">
        <f>Q155/(O155+P155)</f>
        <v>1.9068322981366459</v>
      </c>
      <c r="Y155" s="65">
        <f>R155/R$488</f>
        <v>1.359520565653514E-3</v>
      </c>
      <c r="Z155" s="30">
        <v>502</v>
      </c>
      <c r="AA155" s="30">
        <v>615</v>
      </c>
      <c r="AB155" s="29">
        <v>677</v>
      </c>
      <c r="AC155" s="34">
        <f>Z155/R155</f>
        <v>1.0726495726495726</v>
      </c>
      <c r="AD155" s="34">
        <f>AA155/Z155</f>
        <v>1.2250996015936255</v>
      </c>
      <c r="AE155" s="34">
        <f>AB155/AA155</f>
        <v>1.1008130081300813</v>
      </c>
      <c r="AF155" s="35">
        <f>AB155/R155</f>
        <v>1.4465811965811965</v>
      </c>
      <c r="AG155" s="29">
        <f>0.6*Z155+0.4*AA155</f>
        <v>547.20000000000005</v>
      </c>
      <c r="AH155" s="54">
        <v>4268</v>
      </c>
      <c r="AI155" s="59">
        <f>AH155/AG155</f>
        <v>7.7997076023391809</v>
      </c>
      <c r="AJ155" s="61">
        <f>AI155/AI$488</f>
        <v>1.6574716094757416</v>
      </c>
    </row>
    <row r="156" spans="1:36" ht="15" customHeight="1" x14ac:dyDescent="0.2">
      <c r="A156" s="27" t="s">
        <v>407</v>
      </c>
      <c r="B156" s="27"/>
      <c r="C156" s="27" t="s">
        <v>332</v>
      </c>
      <c r="D156" s="27">
        <v>25</v>
      </c>
      <c r="E156" s="27"/>
      <c r="F156" s="27"/>
      <c r="G156" s="27" t="s">
        <v>332</v>
      </c>
      <c r="H156" s="27">
        <v>18</v>
      </c>
      <c r="I156" s="27" t="s">
        <v>620</v>
      </c>
      <c r="J156" s="27">
        <v>10</v>
      </c>
      <c r="K156" s="27">
        <v>1</v>
      </c>
      <c r="L156" s="27">
        <v>21</v>
      </c>
      <c r="M156" s="29">
        <v>30</v>
      </c>
      <c r="N156" s="30">
        <v>33</v>
      </c>
      <c r="O156" s="30">
        <v>164</v>
      </c>
      <c r="P156" s="30">
        <v>1</v>
      </c>
      <c r="Q156" s="30">
        <v>0</v>
      </c>
      <c r="R156" s="30">
        <v>165</v>
      </c>
      <c r="S156" s="31">
        <f>R156/N156</f>
        <v>5</v>
      </c>
      <c r="T156" s="32">
        <f>O156/R156</f>
        <v>0.9939393939393939</v>
      </c>
      <c r="U156" s="32">
        <f>P156/R156</f>
        <v>6.0606060606060606E-3</v>
      </c>
      <c r="V156" s="32">
        <f>Q156/R156</f>
        <v>0</v>
      </c>
      <c r="W156" s="31">
        <f>P156/O156</f>
        <v>6.0975609756097563E-3</v>
      </c>
      <c r="X156" s="31">
        <f>Q156/(O156+P156)</f>
        <v>0</v>
      </c>
      <c r="Y156" s="65">
        <f>R156/R$488</f>
        <v>4.7931814814707225E-4</v>
      </c>
      <c r="Z156" s="30">
        <v>171</v>
      </c>
      <c r="AA156" s="30">
        <v>171</v>
      </c>
      <c r="AB156" s="29">
        <v>166</v>
      </c>
      <c r="AC156" s="34">
        <f>Z156/R156</f>
        <v>1.0363636363636364</v>
      </c>
      <c r="AD156" s="34">
        <f>AA156/Z156</f>
        <v>1</v>
      </c>
      <c r="AE156" s="34">
        <f>AB156/AA156</f>
        <v>0.9707602339181286</v>
      </c>
      <c r="AF156" s="35">
        <f>AB156/R156</f>
        <v>1.0060606060606061</v>
      </c>
      <c r="AG156" s="29">
        <f>0.6*Z156+0.4*AA156</f>
        <v>171</v>
      </c>
      <c r="AH156" s="54">
        <v>1209</v>
      </c>
      <c r="AI156" s="59">
        <f>AH156/AG156</f>
        <v>7.0701754385964914</v>
      </c>
      <c r="AJ156" s="61">
        <f>AI156/AI$488</f>
        <v>1.5024428684957238</v>
      </c>
    </row>
    <row r="157" spans="1:36" ht="15" customHeight="1" x14ac:dyDescent="0.2">
      <c r="A157" s="27" t="s">
        <v>355</v>
      </c>
      <c r="B157" s="27"/>
      <c r="C157" s="27" t="s">
        <v>325</v>
      </c>
      <c r="D157" s="27">
        <v>4</v>
      </c>
      <c r="E157" s="27"/>
      <c r="F157" s="27"/>
      <c r="G157" s="27" t="s">
        <v>331</v>
      </c>
      <c r="H157" s="27">
        <v>17</v>
      </c>
      <c r="I157" s="27" t="s">
        <v>620</v>
      </c>
      <c r="J157" s="27">
        <v>10</v>
      </c>
      <c r="K157" s="27">
        <v>1</v>
      </c>
      <c r="L157" s="27">
        <v>22</v>
      </c>
      <c r="M157" s="29">
        <v>20</v>
      </c>
      <c r="N157" s="30">
        <v>21</v>
      </c>
      <c r="O157" s="30">
        <v>16</v>
      </c>
      <c r="P157" s="30">
        <v>4</v>
      </c>
      <c r="Q157" s="30">
        <v>118</v>
      </c>
      <c r="R157" s="30">
        <v>138</v>
      </c>
      <c r="S157" s="31">
        <f>R157/N157</f>
        <v>6.5714285714285712</v>
      </c>
      <c r="T157" s="32">
        <f>O157/R157</f>
        <v>0.11594202898550725</v>
      </c>
      <c r="U157" s="32">
        <f>P157/R157</f>
        <v>2.8985507246376812E-2</v>
      </c>
      <c r="V157" s="32">
        <f>Q157/R157</f>
        <v>0.85507246376811596</v>
      </c>
      <c r="W157" s="31">
        <f>P157/O157</f>
        <v>0.25</v>
      </c>
      <c r="X157" s="31">
        <f>Q157/(O157+P157)</f>
        <v>5.9</v>
      </c>
      <c r="Y157" s="65">
        <f>R157/R$488</f>
        <v>4.008842693593695E-4</v>
      </c>
      <c r="Z157" s="30">
        <v>153</v>
      </c>
      <c r="AA157" s="30">
        <v>165</v>
      </c>
      <c r="AB157" s="29">
        <v>173</v>
      </c>
      <c r="AC157" s="34">
        <f>Z157/R157</f>
        <v>1.1086956521739131</v>
      </c>
      <c r="AD157" s="34">
        <f>AA157/Z157</f>
        <v>1.0784313725490196</v>
      </c>
      <c r="AE157" s="34">
        <f>AB157/AA157</f>
        <v>1.0484848484848486</v>
      </c>
      <c r="AF157" s="35">
        <f>AB157/R157</f>
        <v>1.2536231884057971</v>
      </c>
      <c r="AG157" s="29">
        <f>0.6*Z157+0.4*AA157</f>
        <v>157.80000000000001</v>
      </c>
      <c r="AH157" s="54">
        <v>1118</v>
      </c>
      <c r="AI157" s="59">
        <f>AH157/AG157</f>
        <v>7.0849176172370081</v>
      </c>
      <c r="AJ157" s="61">
        <f>AI157/AI$488</f>
        <v>1.5055756452361171</v>
      </c>
    </row>
    <row r="158" spans="1:36" ht="15" customHeight="1" x14ac:dyDescent="0.2">
      <c r="A158" s="27" t="s">
        <v>495</v>
      </c>
      <c r="B158" s="27"/>
      <c r="C158" s="28" t="s">
        <v>120</v>
      </c>
      <c r="D158" s="28">
        <v>9</v>
      </c>
      <c r="E158" s="27" t="s">
        <v>421</v>
      </c>
      <c r="F158" s="27"/>
      <c r="G158" s="27" t="s">
        <v>172</v>
      </c>
      <c r="H158" s="27">
        <v>1</v>
      </c>
      <c r="I158" s="27" t="s">
        <v>618</v>
      </c>
      <c r="J158" s="27">
        <v>6</v>
      </c>
      <c r="K158" s="27">
        <v>6</v>
      </c>
      <c r="L158" s="27">
        <v>25</v>
      </c>
      <c r="M158" s="29">
        <v>203</v>
      </c>
      <c r="N158" s="30">
        <v>215</v>
      </c>
      <c r="O158" s="30">
        <v>223</v>
      </c>
      <c r="P158" s="30">
        <v>185</v>
      </c>
      <c r="Q158" s="30">
        <v>606</v>
      </c>
      <c r="R158" s="30">
        <v>1014</v>
      </c>
      <c r="S158" s="31">
        <f>R158/N158</f>
        <v>4.7162790697674417</v>
      </c>
      <c r="T158" s="32">
        <f>O158/R158</f>
        <v>0.21992110453648916</v>
      </c>
      <c r="U158" s="32">
        <f>P158/R158</f>
        <v>0.18244575936883628</v>
      </c>
      <c r="V158" s="32">
        <f>Q158/R158</f>
        <v>0.59763313609467461</v>
      </c>
      <c r="W158" s="31">
        <f>P158/O158</f>
        <v>0.82959641255605376</v>
      </c>
      <c r="X158" s="31">
        <f>Q158/(O158+P158)</f>
        <v>1.4852941176470589</v>
      </c>
      <c r="Y158" s="65">
        <f>R158/R$488</f>
        <v>2.9456278922492802E-3</v>
      </c>
      <c r="Z158" s="30">
        <v>1190</v>
      </c>
      <c r="AA158" s="30">
        <v>1706</v>
      </c>
      <c r="AB158" s="29">
        <v>2044</v>
      </c>
      <c r="AC158" s="34">
        <f>Z158/R158</f>
        <v>1.1735700197238659</v>
      </c>
      <c r="AD158" s="34">
        <f>AA158/Z158</f>
        <v>1.4336134453781513</v>
      </c>
      <c r="AE158" s="34">
        <f>AB158/AA158</f>
        <v>1.1981242672919108</v>
      </c>
      <c r="AF158" s="35">
        <f>AB158/R158</f>
        <v>2.0157790927021697</v>
      </c>
      <c r="AG158" s="29">
        <f>0.6*Z158+0.4*AA158</f>
        <v>1396.4</v>
      </c>
      <c r="AH158" s="54">
        <v>5067</v>
      </c>
      <c r="AI158" s="59">
        <f>AH158/AG158</f>
        <v>3.6286164422801486</v>
      </c>
      <c r="AJ158" s="61">
        <f>AI158/AI$488</f>
        <v>0.7710966925160736</v>
      </c>
    </row>
    <row r="159" spans="1:36" ht="15" customHeight="1" x14ac:dyDescent="0.2">
      <c r="A159" s="27" t="s">
        <v>356</v>
      </c>
      <c r="B159" s="27"/>
      <c r="C159" s="27" t="s">
        <v>325</v>
      </c>
      <c r="D159" s="27">
        <v>4</v>
      </c>
      <c r="E159" s="27"/>
      <c r="F159" s="27"/>
      <c r="G159" s="27" t="s">
        <v>331</v>
      </c>
      <c r="H159" s="27">
        <v>17</v>
      </c>
      <c r="I159" s="27" t="s">
        <v>620</v>
      </c>
      <c r="J159" s="27">
        <v>10</v>
      </c>
      <c r="K159" s="27">
        <v>1</v>
      </c>
      <c r="L159" s="27">
        <v>23</v>
      </c>
      <c r="M159" s="29">
        <v>51</v>
      </c>
      <c r="N159" s="30">
        <v>51</v>
      </c>
      <c r="O159" s="30">
        <v>255</v>
      </c>
      <c r="P159" s="30">
        <v>10</v>
      </c>
      <c r="Q159" s="30">
        <v>46</v>
      </c>
      <c r="R159" s="30">
        <v>311</v>
      </c>
      <c r="S159" s="31">
        <f>R159/N159</f>
        <v>6.0980392156862742</v>
      </c>
      <c r="T159" s="32">
        <f>O159/R159</f>
        <v>0.819935691318328</v>
      </c>
      <c r="U159" s="32">
        <f>P159/R159</f>
        <v>3.215434083601286E-2</v>
      </c>
      <c r="V159" s="32">
        <f>Q159/R159</f>
        <v>0.14790996784565916</v>
      </c>
      <c r="W159" s="31">
        <f>P159/O159</f>
        <v>3.9215686274509803E-2</v>
      </c>
      <c r="X159" s="31">
        <f>Q159/(O159+P159)</f>
        <v>0.17358490566037735</v>
      </c>
      <c r="Y159" s="65">
        <f>R159/R$488</f>
        <v>9.0344208529539072E-4</v>
      </c>
      <c r="Z159" s="30">
        <v>312</v>
      </c>
      <c r="AA159" s="30">
        <v>422</v>
      </c>
      <c r="AB159" s="29">
        <v>446</v>
      </c>
      <c r="AC159" s="34">
        <f>Z159/R159</f>
        <v>1.0032154340836013</v>
      </c>
      <c r="AD159" s="34">
        <f>AA159/Z159</f>
        <v>1.3525641025641026</v>
      </c>
      <c r="AE159" s="34">
        <f>AB159/AA159</f>
        <v>1.0568720379146919</v>
      </c>
      <c r="AF159" s="35">
        <f>AB159/R159</f>
        <v>1.4340836012861737</v>
      </c>
      <c r="AG159" s="29">
        <f>0.6*Z159+0.4*AA159</f>
        <v>356</v>
      </c>
      <c r="AH159" s="54">
        <v>2759</v>
      </c>
      <c r="AI159" s="59">
        <f>AH159/AG159</f>
        <v>7.75</v>
      </c>
      <c r="AJ159" s="61">
        <f>AI159/AI$488</f>
        <v>1.646908528928005</v>
      </c>
    </row>
    <row r="160" spans="1:36" ht="15" customHeight="1" x14ac:dyDescent="0.2">
      <c r="A160" s="28" t="s">
        <v>37</v>
      </c>
      <c r="B160" s="28"/>
      <c r="C160" s="28" t="s">
        <v>116</v>
      </c>
      <c r="D160" s="27">
        <v>32</v>
      </c>
      <c r="E160" s="27"/>
      <c r="F160" s="27"/>
      <c r="G160" s="27" t="s">
        <v>106</v>
      </c>
      <c r="H160" s="27">
        <v>12</v>
      </c>
      <c r="I160" s="27" t="s">
        <v>111</v>
      </c>
      <c r="J160" s="27">
        <v>5</v>
      </c>
      <c r="K160" s="27">
        <v>4</v>
      </c>
      <c r="L160" s="27">
        <v>40</v>
      </c>
      <c r="M160" s="29">
        <v>58</v>
      </c>
      <c r="N160" s="30">
        <v>58</v>
      </c>
      <c r="O160" s="40">
        <v>210</v>
      </c>
      <c r="P160" s="30">
        <v>46</v>
      </c>
      <c r="Q160" s="30">
        <v>0</v>
      </c>
      <c r="R160" s="30">
        <v>256</v>
      </c>
      <c r="S160" s="31">
        <f>R160/N160</f>
        <v>4.4137931034482758</v>
      </c>
      <c r="T160" s="32">
        <f>O160/R160</f>
        <v>0.8203125</v>
      </c>
      <c r="U160" s="32">
        <f>P160/R160</f>
        <v>0.1796875</v>
      </c>
      <c r="V160" s="32">
        <f>Q160/R160</f>
        <v>0</v>
      </c>
      <c r="W160" s="31">
        <f>P160/O160</f>
        <v>0.21904761904761905</v>
      </c>
      <c r="X160" s="31">
        <f>Q160/(O160+P160)</f>
        <v>0</v>
      </c>
      <c r="Y160" s="65">
        <f>R160/R$488</f>
        <v>7.4366936924636663E-4</v>
      </c>
      <c r="Z160" s="30">
        <v>260</v>
      </c>
      <c r="AA160" s="30">
        <v>295</v>
      </c>
      <c r="AB160" s="29">
        <v>318</v>
      </c>
      <c r="AC160" s="34">
        <f>Z160/R160</f>
        <v>1.015625</v>
      </c>
      <c r="AD160" s="34">
        <f>AA160/Z160</f>
        <v>1.1346153846153846</v>
      </c>
      <c r="AE160" s="34">
        <f>AB160/AA160</f>
        <v>1.0779661016949154</v>
      </c>
      <c r="AF160" s="35">
        <f>AB160/R160</f>
        <v>1.2421875</v>
      </c>
      <c r="AG160" s="29">
        <f>0.6*Z160+0.4*AA160</f>
        <v>274</v>
      </c>
      <c r="AH160" s="54">
        <v>2001</v>
      </c>
      <c r="AI160" s="59">
        <f>AH160/AG160</f>
        <v>7.3029197080291972</v>
      </c>
      <c r="AJ160" s="61">
        <f>AI160/AI$488</f>
        <v>1.5519020326748001</v>
      </c>
    </row>
    <row r="161" spans="1:36" ht="15" customHeight="1" x14ac:dyDescent="0.2">
      <c r="A161" s="28" t="s">
        <v>425</v>
      </c>
      <c r="B161" s="28"/>
      <c r="C161" s="28" t="s">
        <v>112</v>
      </c>
      <c r="D161" s="28">
        <v>6</v>
      </c>
      <c r="E161" s="27"/>
      <c r="F161" s="27"/>
      <c r="G161" s="27" t="s">
        <v>287</v>
      </c>
      <c r="H161" s="27">
        <v>25</v>
      </c>
      <c r="I161" s="27" t="s">
        <v>624</v>
      </c>
      <c r="J161" s="27">
        <v>4</v>
      </c>
      <c r="K161" s="27">
        <v>4</v>
      </c>
      <c r="L161" s="27">
        <v>74</v>
      </c>
      <c r="M161" s="29">
        <v>46</v>
      </c>
      <c r="N161" s="30">
        <v>57</v>
      </c>
      <c r="O161" s="30">
        <v>85</v>
      </c>
      <c r="P161" s="30">
        <v>32</v>
      </c>
      <c r="Q161" s="30">
        <v>181</v>
      </c>
      <c r="R161" s="30">
        <v>298</v>
      </c>
      <c r="S161" s="31">
        <f>R161/N161</f>
        <v>5.2280701754385968</v>
      </c>
      <c r="T161" s="32">
        <f>O161/R161</f>
        <v>0.28523489932885904</v>
      </c>
      <c r="U161" s="32">
        <f>P161/R161</f>
        <v>0.10738255033557047</v>
      </c>
      <c r="V161" s="32">
        <f>Q161/R161</f>
        <v>0.60738255033557043</v>
      </c>
      <c r="W161" s="31">
        <f>P161/O161</f>
        <v>0.37647058823529411</v>
      </c>
      <c r="X161" s="31">
        <f>Q161/(O161+P161)</f>
        <v>1.5470085470085471</v>
      </c>
      <c r="Y161" s="65">
        <f>R161/R$488</f>
        <v>8.6567762513834867E-4</v>
      </c>
      <c r="Z161" s="30">
        <v>331</v>
      </c>
      <c r="AA161" s="30">
        <v>391</v>
      </c>
      <c r="AB161" s="29">
        <v>427</v>
      </c>
      <c r="AC161" s="34">
        <f>Z161/R161</f>
        <v>1.1107382550335569</v>
      </c>
      <c r="AD161" s="34">
        <f>AA161/Z161</f>
        <v>1.1812688821752266</v>
      </c>
      <c r="AE161" s="34">
        <f>AB161/AA161</f>
        <v>1.092071611253197</v>
      </c>
      <c r="AF161" s="35">
        <f>AB161/R161</f>
        <v>1.4328859060402686</v>
      </c>
      <c r="AG161" s="29">
        <f>0.6*Z161+0.4*AA161</f>
        <v>355</v>
      </c>
      <c r="AH161" s="54">
        <v>2145</v>
      </c>
      <c r="AI161" s="59">
        <f>AH161/AG161</f>
        <v>6.042253521126761</v>
      </c>
      <c r="AJ161" s="61">
        <f>AI161/AI$488</f>
        <v>1.2840050139211525</v>
      </c>
    </row>
    <row r="162" spans="1:36" ht="15" customHeight="1" x14ac:dyDescent="0.2">
      <c r="A162" s="28" t="s">
        <v>263</v>
      </c>
      <c r="B162" s="28"/>
      <c r="C162" s="28" t="s">
        <v>123</v>
      </c>
      <c r="D162" s="28">
        <v>23</v>
      </c>
      <c r="E162" s="27"/>
      <c r="F162" s="27"/>
      <c r="G162" s="27" t="s">
        <v>30</v>
      </c>
      <c r="H162" s="27">
        <v>8</v>
      </c>
      <c r="I162" s="27" t="s">
        <v>619</v>
      </c>
      <c r="J162" s="27">
        <v>9</v>
      </c>
      <c r="K162" s="27">
        <v>3</v>
      </c>
      <c r="L162" s="27">
        <v>17</v>
      </c>
      <c r="M162" s="29">
        <v>18</v>
      </c>
      <c r="N162" s="30">
        <v>20</v>
      </c>
      <c r="O162" s="30">
        <v>93</v>
      </c>
      <c r="P162" s="30">
        <v>2</v>
      </c>
      <c r="Q162" s="30">
        <v>44</v>
      </c>
      <c r="R162" s="30">
        <v>139</v>
      </c>
      <c r="S162" s="31">
        <f>R162/N162</f>
        <v>6.95</v>
      </c>
      <c r="T162" s="32">
        <f>O162/R162</f>
        <v>0.6690647482014388</v>
      </c>
      <c r="U162" s="32">
        <f>P162/R162</f>
        <v>1.4388489208633094E-2</v>
      </c>
      <c r="V162" s="32">
        <f>Q162/R162</f>
        <v>0.31654676258992803</v>
      </c>
      <c r="W162" s="31">
        <f>P162/O162</f>
        <v>2.1505376344086023E-2</v>
      </c>
      <c r="X162" s="31">
        <f>Q162/(O162+P162)</f>
        <v>0.4631578947368421</v>
      </c>
      <c r="Y162" s="65">
        <f>R162/R$488</f>
        <v>4.0378922783298815E-4</v>
      </c>
      <c r="Z162" s="30">
        <v>139</v>
      </c>
      <c r="AA162" s="30">
        <v>194</v>
      </c>
      <c r="AB162" s="29">
        <v>209</v>
      </c>
      <c r="AC162" s="34">
        <f>Z162/R162</f>
        <v>1</v>
      </c>
      <c r="AD162" s="34">
        <f>AA162/Z162</f>
        <v>1.3956834532374101</v>
      </c>
      <c r="AE162" s="34">
        <f>AB162/AA162</f>
        <v>1.0773195876288659</v>
      </c>
      <c r="AF162" s="35">
        <f>AB162/R162</f>
        <v>1.5035971223021583</v>
      </c>
      <c r="AG162" s="29">
        <f>0.6*Z162+0.4*AA162</f>
        <v>161</v>
      </c>
      <c r="AH162" s="54">
        <v>919</v>
      </c>
      <c r="AI162" s="59">
        <f>AH162/AG162</f>
        <v>5.7080745341614909</v>
      </c>
      <c r="AJ162" s="61">
        <f>AI162/AI$488</f>
        <v>1.2129905334280398</v>
      </c>
    </row>
    <row r="163" spans="1:36" ht="15" customHeight="1" x14ac:dyDescent="0.2">
      <c r="A163" s="28" t="s">
        <v>61</v>
      </c>
      <c r="B163" s="28"/>
      <c r="C163" s="28" t="s">
        <v>115</v>
      </c>
      <c r="D163" s="28">
        <v>22</v>
      </c>
      <c r="E163" s="27"/>
      <c r="F163" s="27" t="s">
        <v>478</v>
      </c>
      <c r="G163" s="27" t="s">
        <v>431</v>
      </c>
      <c r="H163" s="27">
        <v>21</v>
      </c>
      <c r="I163" s="27" t="s">
        <v>539</v>
      </c>
      <c r="J163" s="27">
        <v>2</v>
      </c>
      <c r="K163" s="27">
        <v>4</v>
      </c>
      <c r="L163" s="27">
        <v>83</v>
      </c>
      <c r="M163" s="29">
        <v>358</v>
      </c>
      <c r="N163" s="30">
        <v>739</v>
      </c>
      <c r="O163" s="30">
        <v>10</v>
      </c>
      <c r="P163" s="30">
        <v>215</v>
      </c>
      <c r="Q163" s="30">
        <v>3182</v>
      </c>
      <c r="R163" s="30">
        <v>3407</v>
      </c>
      <c r="S163" s="31">
        <f>R163/N163</f>
        <v>4.6102841677943163</v>
      </c>
      <c r="T163" s="32">
        <f>O163/R163</f>
        <v>2.9351335485764602E-3</v>
      </c>
      <c r="U163" s="32">
        <f>P163/R163</f>
        <v>6.3105371294393892E-2</v>
      </c>
      <c r="V163" s="32">
        <f>Q163/R163</f>
        <v>0.9339594951570297</v>
      </c>
      <c r="W163" s="31">
        <f>P163/O163</f>
        <v>21.5</v>
      </c>
      <c r="X163" s="31">
        <f>Q163/(O163+P163)</f>
        <v>14.142222222222221</v>
      </c>
      <c r="Y163" s="65">
        <f>R163/R$488</f>
        <v>9.8971935196186366E-3</v>
      </c>
      <c r="Z163" s="30">
        <v>5174</v>
      </c>
      <c r="AA163" s="30">
        <v>6043</v>
      </c>
      <c r="AB163" s="29">
        <v>9571</v>
      </c>
      <c r="AC163" s="34">
        <f>Z163/R163</f>
        <v>1.5186380980334606</v>
      </c>
      <c r="AD163" s="34">
        <f>AA163/Z163</f>
        <v>1.167955160417472</v>
      </c>
      <c r="AE163" s="34">
        <f>AB163/AA163</f>
        <v>1.5838159854376965</v>
      </c>
      <c r="AF163" s="35">
        <f>AB163/R163</f>
        <v>2.8092163193425299</v>
      </c>
      <c r="AG163" s="29">
        <f>0.6*Z163+0.4*AA163</f>
        <v>5521.6</v>
      </c>
      <c r="AH163" s="54">
        <v>17909</v>
      </c>
      <c r="AI163" s="59">
        <f>AH163/AG163</f>
        <v>3.2434439292958559</v>
      </c>
      <c r="AJ163" s="61">
        <f>AI163/AI$488</f>
        <v>0.68924586712994917</v>
      </c>
    </row>
    <row r="164" spans="1:36" ht="15" customHeight="1" x14ac:dyDescent="0.2">
      <c r="A164" s="28" t="s">
        <v>65</v>
      </c>
      <c r="B164" s="28"/>
      <c r="C164" s="28" t="s">
        <v>35</v>
      </c>
      <c r="D164" s="28">
        <v>11</v>
      </c>
      <c r="E164" s="27" t="s">
        <v>420</v>
      </c>
      <c r="F164" s="27"/>
      <c r="G164" s="27" t="s">
        <v>106</v>
      </c>
      <c r="H164" s="27">
        <v>12</v>
      </c>
      <c r="I164" s="27" t="s">
        <v>111</v>
      </c>
      <c r="J164" s="27">
        <v>5</v>
      </c>
      <c r="K164" s="27">
        <v>6</v>
      </c>
      <c r="L164" s="27">
        <v>22</v>
      </c>
      <c r="M164" s="29">
        <v>103</v>
      </c>
      <c r="N164" s="30">
        <v>103</v>
      </c>
      <c r="O164" s="30">
        <v>20</v>
      </c>
      <c r="P164" s="30">
        <v>34</v>
      </c>
      <c r="Q164" s="30">
        <v>430</v>
      </c>
      <c r="R164" s="30">
        <v>484</v>
      </c>
      <c r="S164" s="31">
        <f>R164/N164</f>
        <v>4.6990291262135919</v>
      </c>
      <c r="T164" s="32">
        <f>O164/R164</f>
        <v>4.1322314049586778E-2</v>
      </c>
      <c r="U164" s="32">
        <f>P164/R164</f>
        <v>7.0247933884297523E-2</v>
      </c>
      <c r="V164" s="32">
        <f>Q164/R164</f>
        <v>0.88842975206611574</v>
      </c>
      <c r="W164" s="31">
        <f>P164/O164</f>
        <v>1.7</v>
      </c>
      <c r="X164" s="31">
        <f>Q164/(O164+P164)</f>
        <v>7.9629629629629628</v>
      </c>
      <c r="Y164" s="65">
        <f>R164/R$488</f>
        <v>1.405999901231412E-3</v>
      </c>
      <c r="Z164" s="30">
        <v>813</v>
      </c>
      <c r="AA164" s="30">
        <v>1466</v>
      </c>
      <c r="AB164" s="29">
        <v>1810</v>
      </c>
      <c r="AC164" s="34">
        <f>Z164/R164</f>
        <v>1.6797520661157024</v>
      </c>
      <c r="AD164" s="34">
        <f>AA164/Z164</f>
        <v>1.8031980319803198</v>
      </c>
      <c r="AE164" s="34">
        <f>AB164/AA164</f>
        <v>1.2346521145975444</v>
      </c>
      <c r="AF164" s="35">
        <f>AB164/R164</f>
        <v>3.7396694214876032</v>
      </c>
      <c r="AG164" s="29">
        <f>0.6*Z164+0.4*AA164</f>
        <v>1074.1999999999998</v>
      </c>
      <c r="AH164" s="54">
        <v>4388</v>
      </c>
      <c r="AI164" s="59">
        <f>AH164/AG164</f>
        <v>4.0849003909886434</v>
      </c>
      <c r="AJ164" s="61">
        <f>AI164/AI$488</f>
        <v>0.86805900564394056</v>
      </c>
    </row>
    <row r="165" spans="1:36" ht="15" customHeight="1" x14ac:dyDescent="0.2">
      <c r="A165" s="28" t="s">
        <v>300</v>
      </c>
      <c r="B165" s="28"/>
      <c r="C165" s="28" t="s">
        <v>119</v>
      </c>
      <c r="D165" s="28">
        <v>31</v>
      </c>
      <c r="E165" s="27"/>
      <c r="F165" s="27"/>
      <c r="G165" s="27" t="s">
        <v>332</v>
      </c>
      <c r="H165" s="27">
        <v>18</v>
      </c>
      <c r="I165" s="27" t="s">
        <v>620</v>
      </c>
      <c r="J165" s="27">
        <v>10</v>
      </c>
      <c r="K165" s="27">
        <v>3</v>
      </c>
      <c r="L165" s="27">
        <v>18</v>
      </c>
      <c r="M165" s="29">
        <v>32</v>
      </c>
      <c r="N165" s="30">
        <v>38</v>
      </c>
      <c r="O165" s="30">
        <v>122</v>
      </c>
      <c r="P165" s="30">
        <v>65</v>
      </c>
      <c r="Q165" s="30">
        <v>9</v>
      </c>
      <c r="R165" s="30">
        <v>196</v>
      </c>
      <c r="S165" s="31">
        <f>R165/N165</f>
        <v>5.1578947368421053</v>
      </c>
      <c r="T165" s="32">
        <f>O165/R165</f>
        <v>0.62244897959183676</v>
      </c>
      <c r="U165" s="32">
        <f>P165/R165</f>
        <v>0.33163265306122447</v>
      </c>
      <c r="V165" s="32">
        <f>Q165/R165</f>
        <v>4.5918367346938778E-2</v>
      </c>
      <c r="W165" s="31">
        <f>P165/O165</f>
        <v>0.53278688524590168</v>
      </c>
      <c r="X165" s="31">
        <f>Q165/(O165+P165)</f>
        <v>4.8128342245989303E-2</v>
      </c>
      <c r="Y165" s="65">
        <f>R165/R$488</f>
        <v>5.693718608292494E-4</v>
      </c>
      <c r="Z165" s="30">
        <v>215</v>
      </c>
      <c r="AA165" s="30">
        <v>253</v>
      </c>
      <c r="AB165" s="29">
        <v>292</v>
      </c>
      <c r="AC165" s="34">
        <f>Z165/R165</f>
        <v>1.096938775510204</v>
      </c>
      <c r="AD165" s="34">
        <f>AA165/Z165</f>
        <v>1.1767441860465115</v>
      </c>
      <c r="AE165" s="34">
        <f>AB165/AA165</f>
        <v>1.1541501976284585</v>
      </c>
      <c r="AF165" s="35">
        <f>AB165/R165</f>
        <v>1.489795918367347</v>
      </c>
      <c r="AG165" s="29">
        <f>0.6*Z165+0.4*AA165</f>
        <v>230.2</v>
      </c>
      <c r="AH165" s="54">
        <v>1119</v>
      </c>
      <c r="AI165" s="59">
        <f>AH165/AG165</f>
        <v>4.8609904430929625</v>
      </c>
      <c r="AJ165" s="61">
        <f>AI165/AI$488</f>
        <v>1.0329814993248159</v>
      </c>
    </row>
    <row r="166" spans="1:36" ht="15" customHeight="1" x14ac:dyDescent="0.2">
      <c r="A166" s="28" t="s">
        <v>249</v>
      </c>
      <c r="B166" s="28"/>
      <c r="C166" s="28" t="s">
        <v>115</v>
      </c>
      <c r="D166" s="28">
        <v>22</v>
      </c>
      <c r="E166" s="27"/>
      <c r="F166" s="27"/>
      <c r="G166" s="27" t="s">
        <v>428</v>
      </c>
      <c r="H166" s="27">
        <v>19</v>
      </c>
      <c r="I166" s="27" t="s">
        <v>539</v>
      </c>
      <c r="J166" s="27">
        <v>2</v>
      </c>
      <c r="K166" s="27">
        <v>4</v>
      </c>
      <c r="L166" s="27">
        <v>37</v>
      </c>
      <c r="M166" s="29">
        <v>121</v>
      </c>
      <c r="N166" s="30">
        <v>142</v>
      </c>
      <c r="O166" s="30">
        <v>166</v>
      </c>
      <c r="P166" s="30">
        <v>75</v>
      </c>
      <c r="Q166" s="30">
        <v>470</v>
      </c>
      <c r="R166" s="30">
        <v>711</v>
      </c>
      <c r="S166" s="31">
        <f>R166/N166</f>
        <v>5.007042253521127</v>
      </c>
      <c r="T166" s="32">
        <f>O166/R166</f>
        <v>0.23347398030942335</v>
      </c>
      <c r="U166" s="32">
        <f>P166/R166</f>
        <v>0.10548523206751055</v>
      </c>
      <c r="V166" s="32">
        <f>Q166/R166</f>
        <v>0.66104078762306606</v>
      </c>
      <c r="W166" s="31">
        <f>P166/O166</f>
        <v>0.45180722891566266</v>
      </c>
      <c r="X166" s="31">
        <f>Q166/(O166+P166)</f>
        <v>1.950207468879668</v>
      </c>
      <c r="Y166" s="65">
        <f>R166/R$488</f>
        <v>2.0654254747428384E-3</v>
      </c>
      <c r="Z166" s="30">
        <v>772</v>
      </c>
      <c r="AA166" s="30">
        <v>954</v>
      </c>
      <c r="AB166" s="29">
        <v>1117</v>
      </c>
      <c r="AC166" s="34">
        <f>Z166/R166</f>
        <v>1.0857946554149085</v>
      </c>
      <c r="AD166" s="34">
        <f>AA166/Z166</f>
        <v>1.2357512953367875</v>
      </c>
      <c r="AE166" s="34">
        <f>AB166/AA166</f>
        <v>1.170859538784067</v>
      </c>
      <c r="AF166" s="35">
        <f>AB166/R166</f>
        <v>1.5710267229254571</v>
      </c>
      <c r="AG166" s="29">
        <f>0.6*Z166+0.4*AA166</f>
        <v>844.8</v>
      </c>
      <c r="AH166" s="54">
        <v>7896</v>
      </c>
      <c r="AI166" s="59">
        <f>AH166/AG166</f>
        <v>9.3465909090909101</v>
      </c>
      <c r="AJ166" s="61">
        <f>AI166/AI$488</f>
        <v>1.9861910044622937</v>
      </c>
    </row>
    <row r="167" spans="1:36" ht="15" customHeight="1" x14ac:dyDescent="0.2">
      <c r="A167" s="28" t="s">
        <v>243</v>
      </c>
      <c r="B167" s="28"/>
      <c r="C167" s="28" t="s">
        <v>118</v>
      </c>
      <c r="D167" s="28">
        <v>19</v>
      </c>
      <c r="E167" s="27"/>
      <c r="F167" s="27"/>
      <c r="G167" s="27" t="s">
        <v>69</v>
      </c>
      <c r="H167" s="27">
        <v>5</v>
      </c>
      <c r="I167" s="27" t="s">
        <v>621</v>
      </c>
      <c r="J167" s="27">
        <v>7</v>
      </c>
      <c r="K167" s="27">
        <v>2</v>
      </c>
      <c r="L167" s="27">
        <v>35</v>
      </c>
      <c r="M167" s="29">
        <v>18</v>
      </c>
      <c r="N167" s="30">
        <v>29</v>
      </c>
      <c r="O167" s="30">
        <v>32</v>
      </c>
      <c r="P167" s="30">
        <v>37</v>
      </c>
      <c r="Q167" s="30">
        <v>104</v>
      </c>
      <c r="R167" s="30">
        <v>173</v>
      </c>
      <c r="S167" s="31">
        <f>R167/N167</f>
        <v>5.9655172413793105</v>
      </c>
      <c r="T167" s="32">
        <f>O167/R167</f>
        <v>0.18497109826589594</v>
      </c>
      <c r="U167" s="32">
        <f>P167/R167</f>
        <v>0.2138728323699422</v>
      </c>
      <c r="V167" s="32">
        <f>Q167/R167</f>
        <v>0.60115606936416188</v>
      </c>
      <c r="W167" s="31">
        <f>P167/O167</f>
        <v>1.15625</v>
      </c>
      <c r="X167" s="31">
        <f>Q167/(O167+P167)</f>
        <v>1.5072463768115942</v>
      </c>
      <c r="Y167" s="65">
        <f>R167/R$488</f>
        <v>5.0255781593602116E-4</v>
      </c>
      <c r="Z167" s="30">
        <v>149</v>
      </c>
      <c r="AA167" s="30">
        <v>144</v>
      </c>
      <c r="AB167" s="29">
        <v>168</v>
      </c>
      <c r="AC167" s="34">
        <f>Z167/R167</f>
        <v>0.86127167630057799</v>
      </c>
      <c r="AD167" s="34">
        <f>AA167/Z167</f>
        <v>0.96644295302013428</v>
      </c>
      <c r="AE167" s="34">
        <f>AB167/AA167</f>
        <v>1.1666666666666667</v>
      </c>
      <c r="AF167" s="35">
        <f>AB167/R167</f>
        <v>0.97109826589595372</v>
      </c>
      <c r="AG167" s="29">
        <f>0.6*Z167+0.4*AA167</f>
        <v>147</v>
      </c>
      <c r="AH167" s="54">
        <v>524</v>
      </c>
      <c r="AI167" s="59">
        <f>AH167/AG167</f>
        <v>3.564625850340136</v>
      </c>
      <c r="AJ167" s="61">
        <f>AI167/AI$488</f>
        <v>0.75749841488547254</v>
      </c>
    </row>
    <row r="168" spans="1:36" ht="15" customHeight="1" x14ac:dyDescent="0.2">
      <c r="A168" s="28" t="s">
        <v>498</v>
      </c>
      <c r="B168" s="28"/>
      <c r="C168" s="28" t="s">
        <v>81</v>
      </c>
      <c r="D168" s="27">
        <v>10</v>
      </c>
      <c r="E168" s="27"/>
      <c r="F168" s="27"/>
      <c r="G168" s="27" t="s">
        <v>330</v>
      </c>
      <c r="H168" s="27">
        <v>15</v>
      </c>
      <c r="I168" s="27" t="s">
        <v>624</v>
      </c>
      <c r="J168" s="27">
        <v>4</v>
      </c>
      <c r="K168" s="27">
        <v>4</v>
      </c>
      <c r="L168" s="27">
        <v>38</v>
      </c>
      <c r="M168" s="29">
        <v>147</v>
      </c>
      <c r="N168" s="30">
        <v>186</v>
      </c>
      <c r="O168" s="30">
        <v>252</v>
      </c>
      <c r="P168" s="30">
        <v>252</v>
      </c>
      <c r="Q168" s="30">
        <v>413</v>
      </c>
      <c r="R168" s="30">
        <v>917</v>
      </c>
      <c r="S168" s="31">
        <f>R168/N168</f>
        <v>4.93010752688172</v>
      </c>
      <c r="T168" s="32">
        <f>O168/R168</f>
        <v>0.27480916030534353</v>
      </c>
      <c r="U168" s="32">
        <f>P168/R168</f>
        <v>0.27480916030534353</v>
      </c>
      <c r="V168" s="32">
        <f>Q168/R168</f>
        <v>0.45038167938931295</v>
      </c>
      <c r="W168" s="31">
        <f>P168/O168</f>
        <v>1</v>
      </c>
      <c r="X168" s="31">
        <f>Q168/(O168+P168)</f>
        <v>0.81944444444444442</v>
      </c>
      <c r="Y168" s="65">
        <f>R168/R$488</f>
        <v>2.6638469203082741E-3</v>
      </c>
      <c r="Z168" s="30">
        <v>1104</v>
      </c>
      <c r="AA168" s="30">
        <v>1370</v>
      </c>
      <c r="AB168" s="29">
        <v>1471</v>
      </c>
      <c r="AC168" s="34">
        <f>Z168/R168</f>
        <v>1.2039258451472192</v>
      </c>
      <c r="AD168" s="34">
        <f>AA168/Z168</f>
        <v>1.2409420289855073</v>
      </c>
      <c r="AE168" s="34">
        <f>AB168/AA168</f>
        <v>1.0737226277372263</v>
      </c>
      <c r="AF168" s="35">
        <f>AB168/R168</f>
        <v>1.604143947655398</v>
      </c>
      <c r="AG168" s="29">
        <f>0.6*Z168+0.4*AA168</f>
        <v>1210.4000000000001</v>
      </c>
      <c r="AH168" s="54">
        <v>8984</v>
      </c>
      <c r="AI168" s="59">
        <f>AH168/AG168</f>
        <v>7.4223397224058161</v>
      </c>
      <c r="AJ168" s="61">
        <f>AI168/AI$488</f>
        <v>1.577279302378227</v>
      </c>
    </row>
    <row r="169" spans="1:36" ht="15" customHeight="1" x14ac:dyDescent="0.2">
      <c r="A169" s="27" t="s">
        <v>133</v>
      </c>
      <c r="B169" s="27"/>
      <c r="C169" s="28" t="s">
        <v>117</v>
      </c>
      <c r="D169" s="28">
        <v>3</v>
      </c>
      <c r="E169" s="27"/>
      <c r="F169" s="27"/>
      <c r="G169" s="27" t="s">
        <v>4</v>
      </c>
      <c r="H169" s="27">
        <v>14</v>
      </c>
      <c r="I169" s="27" t="s">
        <v>622</v>
      </c>
      <c r="J169" s="27">
        <v>8</v>
      </c>
      <c r="K169" s="27">
        <v>6</v>
      </c>
      <c r="L169" s="27">
        <v>24</v>
      </c>
      <c r="M169" s="29">
        <v>74</v>
      </c>
      <c r="N169" s="30">
        <v>74</v>
      </c>
      <c r="O169" s="30">
        <v>127</v>
      </c>
      <c r="P169" s="30">
        <v>33</v>
      </c>
      <c r="Q169" s="30">
        <v>261</v>
      </c>
      <c r="R169" s="30">
        <v>421</v>
      </c>
      <c r="S169" s="31">
        <f>R169/N169</f>
        <v>5.6891891891891895</v>
      </c>
      <c r="T169" s="32">
        <f>O169/R169</f>
        <v>0.30166270783847982</v>
      </c>
      <c r="U169" s="32">
        <f>P169/R169</f>
        <v>7.8384798099762468E-2</v>
      </c>
      <c r="V169" s="32">
        <f>Q169/R169</f>
        <v>0.61995249406175768</v>
      </c>
      <c r="W169" s="31">
        <f>P169/O169</f>
        <v>0.25984251968503935</v>
      </c>
      <c r="X169" s="31">
        <f>Q169/(O169+P169)</f>
        <v>1.6312500000000001</v>
      </c>
      <c r="Y169" s="65">
        <f>R169/R$488</f>
        <v>1.2229875173934389E-3</v>
      </c>
      <c r="Z169" s="30">
        <v>472</v>
      </c>
      <c r="AA169" s="30">
        <v>503</v>
      </c>
      <c r="AB169" s="29">
        <v>509</v>
      </c>
      <c r="AC169" s="34">
        <f>Z169/R169</f>
        <v>1.1211401425178147</v>
      </c>
      <c r="AD169" s="34">
        <f>AA169/Z169</f>
        <v>1.0656779661016949</v>
      </c>
      <c r="AE169" s="34">
        <f>AB169/AA169</f>
        <v>1.0119284294234592</v>
      </c>
      <c r="AF169" s="35">
        <f>AB169/R169</f>
        <v>1.2090261282660333</v>
      </c>
      <c r="AG169" s="29">
        <f>0.6*Z169+0.4*AA169</f>
        <v>484.4</v>
      </c>
      <c r="AH169" s="54">
        <v>1840</v>
      </c>
      <c r="AI169" s="59">
        <f>AH169/AG169</f>
        <v>3.7985136251032205</v>
      </c>
      <c r="AJ169" s="61">
        <f>AI169/AI$488</f>
        <v>0.80720057889441654</v>
      </c>
    </row>
    <row r="170" spans="1:36" ht="15" customHeight="1" x14ac:dyDescent="0.2">
      <c r="A170" s="28" t="s">
        <v>311</v>
      </c>
      <c r="B170" s="28"/>
      <c r="C170" s="27" t="s">
        <v>116</v>
      </c>
      <c r="D170" s="27">
        <v>32</v>
      </c>
      <c r="E170" s="27"/>
      <c r="F170" s="27" t="s">
        <v>12</v>
      </c>
      <c r="G170" s="27" t="s">
        <v>432</v>
      </c>
      <c r="H170" s="27">
        <v>4</v>
      </c>
      <c r="I170" s="27" t="s">
        <v>12</v>
      </c>
      <c r="J170" s="27">
        <v>1</v>
      </c>
      <c r="K170" s="27" t="s">
        <v>12</v>
      </c>
      <c r="L170" s="27">
        <v>1</v>
      </c>
      <c r="M170" s="29">
        <v>50</v>
      </c>
      <c r="N170" s="30">
        <v>59</v>
      </c>
      <c r="O170" s="30">
        <v>0</v>
      </c>
      <c r="P170" s="30">
        <v>29</v>
      </c>
      <c r="Q170" s="30">
        <v>306</v>
      </c>
      <c r="R170" s="30">
        <v>335</v>
      </c>
      <c r="S170" s="31">
        <f>R170/N170</f>
        <v>5.6779661016949152</v>
      </c>
      <c r="T170" s="32">
        <f>O170/R170</f>
        <v>0</v>
      </c>
      <c r="U170" s="32">
        <f>P170/R170</f>
        <v>8.6567164179104483E-2</v>
      </c>
      <c r="V170" s="32">
        <f>Q170/R170</f>
        <v>0.91343283582089552</v>
      </c>
      <c r="W170" s="31" t="e">
        <f>P170/O170</f>
        <v>#DIV/0!</v>
      </c>
      <c r="X170" s="31">
        <f>Q170/(O170+P170)</f>
        <v>10.551724137931034</v>
      </c>
      <c r="Y170" s="65">
        <f>R170/R$488</f>
        <v>9.7316108866223755E-4</v>
      </c>
      <c r="Z170" s="30">
        <v>312</v>
      </c>
      <c r="AA170" s="30">
        <v>437</v>
      </c>
      <c r="AB170" s="30">
        <v>420</v>
      </c>
      <c r="AC170" s="34">
        <f>Z170/R170</f>
        <v>0.93134328358208951</v>
      </c>
      <c r="AD170" s="34">
        <f>AA170/Z170</f>
        <v>1.4006410256410255</v>
      </c>
      <c r="AE170" s="34">
        <f>AB170/AA170</f>
        <v>0.9610983981693364</v>
      </c>
      <c r="AF170" s="35">
        <f>AB170/R170</f>
        <v>1.2537313432835822</v>
      </c>
      <c r="AG170" s="29">
        <f>0.6*Z170+0.4*AA170</f>
        <v>362</v>
      </c>
      <c r="AH170" s="57">
        <v>1585</v>
      </c>
      <c r="AI170" s="59">
        <f>AH170/AG170</f>
        <v>4.3784530386740332</v>
      </c>
      <c r="AJ170" s="61">
        <f>AI170/AI$488</f>
        <v>0.93044021327780713</v>
      </c>
    </row>
    <row r="171" spans="1:36" ht="15" customHeight="1" x14ac:dyDescent="0.2">
      <c r="A171" s="28" t="s">
        <v>86</v>
      </c>
      <c r="B171" s="28"/>
      <c r="C171" s="28" t="s">
        <v>116</v>
      </c>
      <c r="D171" s="27">
        <v>32</v>
      </c>
      <c r="E171" s="27"/>
      <c r="F171" s="27" t="s">
        <v>12</v>
      </c>
      <c r="G171" s="27" t="s">
        <v>432</v>
      </c>
      <c r="H171" s="27">
        <v>4</v>
      </c>
      <c r="I171" s="27" t="s">
        <v>12</v>
      </c>
      <c r="J171" s="27">
        <v>1</v>
      </c>
      <c r="K171" s="27" t="s">
        <v>12</v>
      </c>
      <c r="L171" s="27">
        <v>2</v>
      </c>
      <c r="M171" s="30">
        <v>85</v>
      </c>
      <c r="N171" s="30">
        <v>157</v>
      </c>
      <c r="O171" s="30">
        <v>0</v>
      </c>
      <c r="P171" s="30">
        <v>114</v>
      </c>
      <c r="Q171" s="30">
        <v>555</v>
      </c>
      <c r="R171" s="30">
        <v>669</v>
      </c>
      <c r="S171" s="31">
        <f>R171/N171</f>
        <v>4.2611464968152868</v>
      </c>
      <c r="T171" s="32">
        <f>O171/R171</f>
        <v>0</v>
      </c>
      <c r="U171" s="32">
        <f>P171/R171</f>
        <v>0.17040358744394618</v>
      </c>
      <c r="V171" s="32">
        <f>Q171/R171</f>
        <v>0.82959641255605376</v>
      </c>
      <c r="W171" s="31" t="e">
        <f>P171/O171</f>
        <v>#DIV/0!</v>
      </c>
      <c r="X171" s="31">
        <f>Q171/(O171+P171)</f>
        <v>4.8684210526315788</v>
      </c>
      <c r="Y171" s="65">
        <f>R171/R$488</f>
        <v>1.9434172188508565E-3</v>
      </c>
      <c r="Z171" s="30">
        <v>621</v>
      </c>
      <c r="AA171" s="30">
        <v>698</v>
      </c>
      <c r="AB171" s="30">
        <v>889</v>
      </c>
      <c r="AC171" s="34">
        <f>Z171/R171</f>
        <v>0.9282511210762332</v>
      </c>
      <c r="AD171" s="34">
        <f>AA171/Z171</f>
        <v>1.1239935587761676</v>
      </c>
      <c r="AE171" s="34">
        <f>AB171/AA171</f>
        <v>1.2736389684813754</v>
      </c>
      <c r="AF171" s="35">
        <f>AB171/R171</f>
        <v>1.3288490284005978</v>
      </c>
      <c r="AG171" s="29">
        <f>0.6*Z171+0.4*AA171</f>
        <v>651.79999999999995</v>
      </c>
      <c r="AH171" s="76">
        <v>1800</v>
      </c>
      <c r="AI171" s="59">
        <f>AH171/AG171</f>
        <v>2.7615833077631176</v>
      </c>
      <c r="AJ171" s="61">
        <f>AI171/AI$488</f>
        <v>0.58684840037423103</v>
      </c>
    </row>
    <row r="172" spans="1:36" ht="15" customHeight="1" x14ac:dyDescent="0.2">
      <c r="A172" s="27" t="s">
        <v>312</v>
      </c>
      <c r="B172" s="27"/>
      <c r="C172" s="27" t="s">
        <v>116</v>
      </c>
      <c r="D172" s="27">
        <v>32</v>
      </c>
      <c r="E172" s="27"/>
      <c r="F172" s="27" t="s">
        <v>12</v>
      </c>
      <c r="G172" s="27" t="s">
        <v>432</v>
      </c>
      <c r="H172" s="27">
        <v>4</v>
      </c>
      <c r="I172" s="27" t="s">
        <v>12</v>
      </c>
      <c r="J172" s="27">
        <v>1</v>
      </c>
      <c r="K172" s="27" t="s">
        <v>12</v>
      </c>
      <c r="L172" s="27">
        <v>3</v>
      </c>
      <c r="M172" s="30">
        <v>17</v>
      </c>
      <c r="N172" s="30">
        <v>17</v>
      </c>
      <c r="O172" s="30">
        <v>0</v>
      </c>
      <c r="P172" s="30">
        <v>7</v>
      </c>
      <c r="Q172" s="30">
        <v>109</v>
      </c>
      <c r="R172" s="30">
        <v>116</v>
      </c>
      <c r="S172" s="31">
        <f>R172/N172</f>
        <v>6.8235294117647056</v>
      </c>
      <c r="T172" s="32">
        <f>O172/R172</f>
        <v>0</v>
      </c>
      <c r="U172" s="32">
        <f>P172/R172</f>
        <v>6.0344827586206899E-2</v>
      </c>
      <c r="V172" s="32">
        <f>Q172/R172</f>
        <v>0.93965517241379315</v>
      </c>
      <c r="W172" s="31" t="e">
        <f>P172/O172</f>
        <v>#DIV/0!</v>
      </c>
      <c r="X172" s="31">
        <f>Q172/(O172+P172)</f>
        <v>15.571428571428571</v>
      </c>
      <c r="Y172" s="65">
        <f>R172/R$488</f>
        <v>3.3697518293975985E-4</v>
      </c>
      <c r="Z172" s="30">
        <v>123</v>
      </c>
      <c r="AA172" s="30">
        <v>119</v>
      </c>
      <c r="AB172" s="30">
        <v>114</v>
      </c>
      <c r="AC172" s="34">
        <f>Z172/R172</f>
        <v>1.0603448275862069</v>
      </c>
      <c r="AD172" s="34">
        <f>AA172/Z172</f>
        <v>0.96747967479674801</v>
      </c>
      <c r="AE172" s="34">
        <f>AB172/AA172</f>
        <v>0.95798319327731096</v>
      </c>
      <c r="AF172" s="35">
        <f>AB172/R172</f>
        <v>0.98275862068965514</v>
      </c>
      <c r="AG172" s="29">
        <f>0.6*Z172+0.4*AA172</f>
        <v>121.4</v>
      </c>
      <c r="AH172" s="57">
        <v>850</v>
      </c>
      <c r="AI172" s="59">
        <f>AH172/AG172</f>
        <v>7.0016474464579899</v>
      </c>
      <c r="AJ172" s="61">
        <f>AI172/AI$488</f>
        <v>1.4878803736927291</v>
      </c>
    </row>
    <row r="173" spans="1:36" ht="15" customHeight="1" x14ac:dyDescent="0.2">
      <c r="A173" s="27" t="s">
        <v>125</v>
      </c>
      <c r="B173" s="27"/>
      <c r="C173" s="27" t="s">
        <v>116</v>
      </c>
      <c r="D173" s="27">
        <v>32</v>
      </c>
      <c r="E173" s="27"/>
      <c r="F173" s="27" t="s">
        <v>12</v>
      </c>
      <c r="G173" s="27" t="s">
        <v>432</v>
      </c>
      <c r="H173" s="27">
        <v>4</v>
      </c>
      <c r="I173" s="27" t="s">
        <v>12</v>
      </c>
      <c r="J173" s="27">
        <v>1</v>
      </c>
      <c r="K173" s="27" t="s">
        <v>12</v>
      </c>
      <c r="L173" s="27">
        <v>5</v>
      </c>
      <c r="M173" s="30">
        <v>102</v>
      </c>
      <c r="N173" s="30">
        <v>114</v>
      </c>
      <c r="O173" s="30">
        <v>0</v>
      </c>
      <c r="P173" s="30">
        <v>84</v>
      </c>
      <c r="Q173" s="30">
        <v>487</v>
      </c>
      <c r="R173" s="30">
        <v>571</v>
      </c>
      <c r="S173" s="31">
        <f>R173/N173</f>
        <v>5.0087719298245617</v>
      </c>
      <c r="T173" s="32">
        <f>O173/R173</f>
        <v>0</v>
      </c>
      <c r="U173" s="32">
        <f>P173/R173</f>
        <v>0.14711033274956217</v>
      </c>
      <c r="V173" s="32">
        <f>Q173/R173</f>
        <v>0.8528896672504378</v>
      </c>
      <c r="W173" s="31" t="e">
        <f>P173/O173</f>
        <v>#DIV/0!</v>
      </c>
      <c r="X173" s="31">
        <f>Q173/(O173+P173)</f>
        <v>5.7976190476190474</v>
      </c>
      <c r="Y173" s="65">
        <f>R173/R$488</f>
        <v>1.6587312884362318E-3</v>
      </c>
      <c r="Z173" s="30">
        <v>726</v>
      </c>
      <c r="AA173" s="30">
        <v>772</v>
      </c>
      <c r="AB173" s="30">
        <v>675</v>
      </c>
      <c r="AC173" s="34">
        <f>Z173/R173</f>
        <v>1.2714535901926445</v>
      </c>
      <c r="AD173" s="34">
        <f>AA173/Z173</f>
        <v>1.0633608815426998</v>
      </c>
      <c r="AE173" s="34">
        <f>AB173/AA173</f>
        <v>0.87435233160621761</v>
      </c>
      <c r="AF173" s="35">
        <f>AB173/R173</f>
        <v>1.1821366024518389</v>
      </c>
      <c r="AG173" s="29">
        <f>0.6*Z173+0.4*AA173</f>
        <v>744.4</v>
      </c>
      <c r="AH173" s="57">
        <v>2617</v>
      </c>
      <c r="AI173" s="59">
        <f>AH173/AG173</f>
        <v>3.5155830198817841</v>
      </c>
      <c r="AJ173" s="61">
        <f>AI173/AI$488</f>
        <v>0.74707660123842357</v>
      </c>
    </row>
    <row r="174" spans="1:36" ht="15" customHeight="1" x14ac:dyDescent="0.2">
      <c r="A174" s="27" t="s">
        <v>313</v>
      </c>
      <c r="B174" s="27"/>
      <c r="C174" s="27" t="s">
        <v>116</v>
      </c>
      <c r="D174" s="27">
        <v>32</v>
      </c>
      <c r="E174" s="27"/>
      <c r="F174" s="27" t="s">
        <v>12</v>
      </c>
      <c r="G174" s="27" t="s">
        <v>432</v>
      </c>
      <c r="H174" s="27">
        <v>4</v>
      </c>
      <c r="I174" s="27" t="s">
        <v>12</v>
      </c>
      <c r="J174" s="27">
        <v>1</v>
      </c>
      <c r="K174" s="27">
        <v>6</v>
      </c>
      <c r="L174" s="27">
        <v>31</v>
      </c>
      <c r="M174" s="29">
        <v>163</v>
      </c>
      <c r="N174" s="30">
        <v>178</v>
      </c>
      <c r="O174" s="30">
        <v>507</v>
      </c>
      <c r="P174" s="30">
        <v>193</v>
      </c>
      <c r="Q174" s="30">
        <v>133</v>
      </c>
      <c r="R174" s="30">
        <v>833</v>
      </c>
      <c r="S174" s="31">
        <f>R174/N174</f>
        <v>4.6797752808988768</v>
      </c>
      <c r="T174" s="32">
        <f>O174/R174</f>
        <v>0.60864345738295322</v>
      </c>
      <c r="U174" s="32">
        <f>P174/R174</f>
        <v>0.23169267707082833</v>
      </c>
      <c r="V174" s="32">
        <f>Q174/R174</f>
        <v>0.15966386554621848</v>
      </c>
      <c r="W174" s="31">
        <f>P174/O174</f>
        <v>0.38067061143984221</v>
      </c>
      <c r="X174" s="31">
        <f>Q174/(O174+P174)</f>
        <v>0.19</v>
      </c>
      <c r="Y174" s="65">
        <f>R174/R$488</f>
        <v>2.4198304085243103E-3</v>
      </c>
      <c r="Z174" s="30">
        <v>957</v>
      </c>
      <c r="AA174" s="30">
        <v>1253</v>
      </c>
      <c r="AB174" s="29">
        <v>1932</v>
      </c>
      <c r="AC174" s="34">
        <f>Z174/R174</f>
        <v>1.1488595438175271</v>
      </c>
      <c r="AD174" s="34">
        <f>AA174/Z174</f>
        <v>1.309299895506792</v>
      </c>
      <c r="AE174" s="34">
        <f>AB174/AA174</f>
        <v>1.5418994413407821</v>
      </c>
      <c r="AF174" s="35">
        <f>AB174/R174</f>
        <v>2.3193277310924372</v>
      </c>
      <c r="AG174" s="29">
        <f>0.6*Z174+0.4*AA174</f>
        <v>1075.4000000000001</v>
      </c>
      <c r="AH174" s="54">
        <v>12888</v>
      </c>
      <c r="AI174" s="59">
        <f>AH174/AG174</f>
        <v>11.98437790589548</v>
      </c>
      <c r="AJ174" s="61">
        <f>AI174/AI$488</f>
        <v>2.5467321531762077</v>
      </c>
    </row>
    <row r="175" spans="1:36" ht="15" customHeight="1" x14ac:dyDescent="0.2">
      <c r="A175" s="28" t="s">
        <v>58</v>
      </c>
      <c r="B175" s="28"/>
      <c r="C175" s="28" t="s">
        <v>116</v>
      </c>
      <c r="D175" s="27">
        <v>32</v>
      </c>
      <c r="E175" s="27"/>
      <c r="F175" s="27" t="s">
        <v>12</v>
      </c>
      <c r="G175" s="27" t="s">
        <v>432</v>
      </c>
      <c r="H175" s="27">
        <v>4</v>
      </c>
      <c r="I175" s="27" t="s">
        <v>12</v>
      </c>
      <c r="J175" s="27">
        <v>1</v>
      </c>
      <c r="K175" s="27" t="s">
        <v>12</v>
      </c>
      <c r="L175" s="27">
        <v>22</v>
      </c>
      <c r="M175" s="30">
        <v>279</v>
      </c>
      <c r="N175" s="30">
        <v>345</v>
      </c>
      <c r="O175" s="30">
        <v>22</v>
      </c>
      <c r="P175" s="30">
        <v>554</v>
      </c>
      <c r="Q175" s="30">
        <v>1364</v>
      </c>
      <c r="R175" s="30">
        <v>1940</v>
      </c>
      <c r="S175" s="31">
        <f>R175/N175</f>
        <v>5.6231884057971016</v>
      </c>
      <c r="T175" s="32">
        <f>O175/R175</f>
        <v>1.134020618556701E-2</v>
      </c>
      <c r="U175" s="32">
        <f>P175/R175</f>
        <v>0.28556701030927834</v>
      </c>
      <c r="V175" s="32">
        <f>Q175/R175</f>
        <v>0.70309278350515458</v>
      </c>
      <c r="W175" s="31">
        <f>P175/O175</f>
        <v>25.181818181818183</v>
      </c>
      <c r="X175" s="31">
        <f>Q175/(O175+P175)</f>
        <v>2.3680555555555554</v>
      </c>
      <c r="Y175" s="65">
        <f>R175/R$488</f>
        <v>5.6356194388201223E-3</v>
      </c>
      <c r="Z175" s="30">
        <v>1941</v>
      </c>
      <c r="AA175" s="30">
        <v>2377</v>
      </c>
      <c r="AB175" s="30">
        <v>2806</v>
      </c>
      <c r="AC175" s="34">
        <f>Z175/R175</f>
        <v>1.0005154639175258</v>
      </c>
      <c r="AD175" s="34">
        <f>AA175/Z175</f>
        <v>1.2246264811952601</v>
      </c>
      <c r="AE175" s="34">
        <f>AB175/AA175</f>
        <v>1.1804795961295751</v>
      </c>
      <c r="AF175" s="35">
        <f>AB175/R175</f>
        <v>1.4463917525773196</v>
      </c>
      <c r="AG175" s="29">
        <f>0.6*Z175+0.4*AA175</f>
        <v>2115.4</v>
      </c>
      <c r="AH175" s="57">
        <v>4335</v>
      </c>
      <c r="AI175" s="59">
        <f>AH175/AG175</f>
        <v>2.049257823579465</v>
      </c>
      <c r="AJ175" s="61">
        <f>AI175/AI$488</f>
        <v>0.43547615324199507</v>
      </c>
    </row>
    <row r="176" spans="1:36" ht="15" customHeight="1" x14ac:dyDescent="0.2">
      <c r="A176" s="28" t="s">
        <v>628</v>
      </c>
      <c r="B176" s="28"/>
      <c r="C176" s="28" t="s">
        <v>116</v>
      </c>
      <c r="D176" s="27">
        <v>32</v>
      </c>
      <c r="E176" s="27"/>
      <c r="F176" s="27" t="s">
        <v>12</v>
      </c>
      <c r="G176" s="27" t="s">
        <v>432</v>
      </c>
      <c r="H176" s="27">
        <v>4</v>
      </c>
      <c r="I176" s="27" t="s">
        <v>12</v>
      </c>
      <c r="J176" s="27">
        <v>1</v>
      </c>
      <c r="K176" s="27" t="s">
        <v>12</v>
      </c>
      <c r="L176" s="27">
        <v>6</v>
      </c>
      <c r="M176" s="30">
        <v>313</v>
      </c>
      <c r="N176" s="30">
        <v>443</v>
      </c>
      <c r="O176" s="30">
        <v>55</v>
      </c>
      <c r="P176" s="30">
        <v>254</v>
      </c>
      <c r="Q176" s="30">
        <v>1545</v>
      </c>
      <c r="R176" s="30">
        <v>1854</v>
      </c>
      <c r="S176" s="31">
        <f>R176/N176</f>
        <v>4.1851015801354405</v>
      </c>
      <c r="T176" s="32">
        <f>O176/R176</f>
        <v>2.9665587918015102E-2</v>
      </c>
      <c r="U176" s="32">
        <f>P176/R176</f>
        <v>0.13700107874865156</v>
      </c>
      <c r="V176" s="32">
        <f>Q176/R176</f>
        <v>0.83333333333333337</v>
      </c>
      <c r="W176" s="31">
        <f>P176/O176</f>
        <v>4.6181818181818182</v>
      </c>
      <c r="X176" s="31">
        <f>Q176/(O176+P176)</f>
        <v>5</v>
      </c>
      <c r="Y176" s="65">
        <f>R176/R$488</f>
        <v>5.3857930100889208E-3</v>
      </c>
      <c r="Z176" s="30">
        <v>2027</v>
      </c>
      <c r="AA176" s="30">
        <v>2282</v>
      </c>
      <c r="AB176" s="30">
        <v>3078</v>
      </c>
      <c r="AC176" s="34">
        <f>Z176/R176</f>
        <v>1.093311758360302</v>
      </c>
      <c r="AD176" s="34">
        <f>AA176/Z176</f>
        <v>1.125801677355698</v>
      </c>
      <c r="AE176" s="34">
        <f>AB176/AA176</f>
        <v>1.3488168273444348</v>
      </c>
      <c r="AF176" s="35">
        <f>AB176/R176</f>
        <v>1.6601941747572815</v>
      </c>
      <c r="AG176" s="29">
        <f>0.6*Z176+0.4*AA176</f>
        <v>2129</v>
      </c>
      <c r="AH176" s="57">
        <v>9280</v>
      </c>
      <c r="AI176" s="59">
        <f>AH176/AG176</f>
        <v>4.3588539220291214</v>
      </c>
      <c r="AJ176" s="61">
        <f>AI176/AI$488</f>
        <v>0.92627531619884462</v>
      </c>
    </row>
    <row r="177" spans="1:36" ht="15" customHeight="1" x14ac:dyDescent="0.2">
      <c r="A177" s="27" t="s">
        <v>448</v>
      </c>
      <c r="B177" s="27"/>
      <c r="C177" s="27" t="s">
        <v>116</v>
      </c>
      <c r="D177" s="27">
        <v>32</v>
      </c>
      <c r="E177" s="27"/>
      <c r="F177" s="27" t="s">
        <v>12</v>
      </c>
      <c r="G177" s="27" t="s">
        <v>432</v>
      </c>
      <c r="H177" s="27">
        <v>4</v>
      </c>
      <c r="I177" s="27" t="s">
        <v>12</v>
      </c>
      <c r="J177" s="27">
        <v>1</v>
      </c>
      <c r="K177" s="27" t="s">
        <v>12</v>
      </c>
      <c r="L177" s="27">
        <v>7</v>
      </c>
      <c r="M177" s="30">
        <v>206</v>
      </c>
      <c r="N177" s="30">
        <v>283</v>
      </c>
      <c r="O177" s="30">
        <v>0</v>
      </c>
      <c r="P177" s="30">
        <v>918</v>
      </c>
      <c r="Q177" s="30">
        <v>0</v>
      </c>
      <c r="R177" s="30">
        <v>918</v>
      </c>
      <c r="S177" s="31">
        <f>R177/N177</f>
        <v>3.2438162544169611</v>
      </c>
      <c r="T177" s="32">
        <f>O177/R177</f>
        <v>0</v>
      </c>
      <c r="U177" s="32">
        <f>P177/R177</f>
        <v>1</v>
      </c>
      <c r="V177" s="32">
        <f>Q177/R177</f>
        <v>0</v>
      </c>
      <c r="W177" s="31" t="e">
        <f>P177/O177</f>
        <v>#DIV/0!</v>
      </c>
      <c r="X177" s="31">
        <f>Q177/(O177+P177)</f>
        <v>0</v>
      </c>
      <c r="Y177" s="65">
        <f>R177/R$488</f>
        <v>2.6667518787818929E-3</v>
      </c>
      <c r="Z177" s="30">
        <v>1056</v>
      </c>
      <c r="AA177" s="30">
        <v>1378</v>
      </c>
      <c r="AB177" s="30">
        <v>1523</v>
      </c>
      <c r="AC177" s="34">
        <f>Z177/R177</f>
        <v>1.1503267973856208</v>
      </c>
      <c r="AD177" s="34">
        <f>AA177/Z177</f>
        <v>1.3049242424242424</v>
      </c>
      <c r="AE177" s="34">
        <f>AB177/AA177</f>
        <v>1.1052249637155298</v>
      </c>
      <c r="AF177" s="35">
        <f>AB177/R177</f>
        <v>1.659041394335512</v>
      </c>
      <c r="AG177" s="29">
        <f>0.6*Z177+0.4*AA177</f>
        <v>1184.8000000000002</v>
      </c>
      <c r="AH177" s="57">
        <v>2918</v>
      </c>
      <c r="AI177" s="59">
        <f>AH177/AG177</f>
        <v>2.4628629304523968</v>
      </c>
      <c r="AJ177" s="61">
        <f>AI177/AI$488</f>
        <v>0.52336902783776418</v>
      </c>
    </row>
    <row r="178" spans="1:36" ht="15" customHeight="1" x14ac:dyDescent="0.2">
      <c r="A178" s="28" t="s">
        <v>71</v>
      </c>
      <c r="B178" s="28"/>
      <c r="C178" s="28" t="s">
        <v>116</v>
      </c>
      <c r="D178" s="27">
        <v>32</v>
      </c>
      <c r="E178" s="27"/>
      <c r="F178" s="27" t="s">
        <v>12</v>
      </c>
      <c r="G178" s="27" t="s">
        <v>432</v>
      </c>
      <c r="H178" s="27">
        <v>4</v>
      </c>
      <c r="I178" s="27" t="s">
        <v>12</v>
      </c>
      <c r="J178" s="27">
        <v>1</v>
      </c>
      <c r="K178" s="27" t="s">
        <v>12</v>
      </c>
      <c r="L178" s="27">
        <v>8</v>
      </c>
      <c r="M178" s="30">
        <v>75</v>
      </c>
      <c r="N178" s="30">
        <v>143</v>
      </c>
      <c r="O178" s="30">
        <v>11</v>
      </c>
      <c r="P178" s="30">
        <v>157</v>
      </c>
      <c r="Q178" s="30">
        <v>474</v>
      </c>
      <c r="R178" s="30">
        <v>642</v>
      </c>
      <c r="S178" s="31">
        <f>R178/N178</f>
        <v>4.4895104895104891</v>
      </c>
      <c r="T178" s="32">
        <f>O178/R178</f>
        <v>1.7133956386292833E-2</v>
      </c>
      <c r="U178" s="32">
        <f>P178/R178</f>
        <v>0.24454828660436137</v>
      </c>
      <c r="V178" s="32">
        <f>Q178/R178</f>
        <v>0.73831775700934577</v>
      </c>
      <c r="W178" s="31">
        <f>P178/O178</f>
        <v>14.272727272727273</v>
      </c>
      <c r="X178" s="31">
        <f>Q178/(O178+P178)</f>
        <v>2.8214285714285716</v>
      </c>
      <c r="Y178" s="65">
        <f>R178/R$488</f>
        <v>1.8649833400631538E-3</v>
      </c>
      <c r="Z178" s="30">
        <v>663</v>
      </c>
      <c r="AA178" s="30">
        <v>793</v>
      </c>
      <c r="AB178" s="30">
        <v>908</v>
      </c>
      <c r="AC178" s="34">
        <f>Z178/R178</f>
        <v>1.0327102803738317</v>
      </c>
      <c r="AD178" s="34">
        <f>AA178/Z178</f>
        <v>1.196078431372549</v>
      </c>
      <c r="AE178" s="34">
        <f>AB178/AA178</f>
        <v>1.1450189155107189</v>
      </c>
      <c r="AF178" s="35">
        <f>AB178/R178</f>
        <v>1.4143302180685358</v>
      </c>
      <c r="AG178" s="29">
        <f>0.6*Z178+0.4*AA178</f>
        <v>715</v>
      </c>
      <c r="AH178" s="57">
        <v>1328</v>
      </c>
      <c r="AI178" s="59">
        <f>AH178/AG178</f>
        <v>1.8573426573426572</v>
      </c>
      <c r="AJ178" s="61">
        <f>AI178/AI$488</f>
        <v>0.394693350131539</v>
      </c>
    </row>
    <row r="179" spans="1:36" ht="15" customHeight="1" x14ac:dyDescent="0.2">
      <c r="A179" s="28" t="s">
        <v>75</v>
      </c>
      <c r="B179" s="28"/>
      <c r="C179" s="28" t="s">
        <v>116</v>
      </c>
      <c r="D179" s="27">
        <v>32</v>
      </c>
      <c r="E179" s="27"/>
      <c r="F179" s="27" t="s">
        <v>12</v>
      </c>
      <c r="G179" s="27" t="s">
        <v>432</v>
      </c>
      <c r="H179" s="27">
        <v>4</v>
      </c>
      <c r="I179" s="27" t="s">
        <v>12</v>
      </c>
      <c r="J179" s="27">
        <v>1</v>
      </c>
      <c r="K179" s="27" t="s">
        <v>12</v>
      </c>
      <c r="L179" s="27">
        <v>9</v>
      </c>
      <c r="M179" s="30">
        <v>72</v>
      </c>
      <c r="N179" s="30">
        <v>107</v>
      </c>
      <c r="O179" s="30">
        <v>0</v>
      </c>
      <c r="P179" s="30">
        <v>203</v>
      </c>
      <c r="Q179" s="30">
        <v>418</v>
      </c>
      <c r="R179" s="30">
        <v>621</v>
      </c>
      <c r="S179" s="31">
        <f>R179/N179</f>
        <v>5.8037383177570092</v>
      </c>
      <c r="T179" s="32">
        <f>O179/R179</f>
        <v>0</v>
      </c>
      <c r="U179" s="32">
        <f>P179/R179</f>
        <v>0.32689210950080516</v>
      </c>
      <c r="V179" s="32">
        <f>Q179/R179</f>
        <v>0.67310789049919484</v>
      </c>
      <c r="W179" s="31" t="e">
        <f>P179/O179</f>
        <v>#DIV/0!</v>
      </c>
      <c r="X179" s="31">
        <f>Q179/(O179+P179)</f>
        <v>2.0591133004926108</v>
      </c>
      <c r="Y179" s="65">
        <f>R179/R$488</f>
        <v>1.8039792121171629E-3</v>
      </c>
      <c r="Z179" s="30">
        <v>472</v>
      </c>
      <c r="AA179" s="30">
        <v>543</v>
      </c>
      <c r="AB179" s="30">
        <v>586</v>
      </c>
      <c r="AC179" s="34">
        <f>Z179/R179</f>
        <v>0.76006441223832533</v>
      </c>
      <c r="AD179" s="34">
        <f>AA179/Z179</f>
        <v>1.1504237288135593</v>
      </c>
      <c r="AE179" s="34">
        <f>AB179/AA179</f>
        <v>1.0791896869244935</v>
      </c>
      <c r="AF179" s="35">
        <f>AB179/R179</f>
        <v>0.94363929146537839</v>
      </c>
      <c r="AG179" s="29">
        <f>0.6*Z179+0.4*AA179</f>
        <v>500.4</v>
      </c>
      <c r="AH179" s="57">
        <v>1293</v>
      </c>
      <c r="AI179" s="59">
        <f>AH179/AG179</f>
        <v>2.5839328537170263</v>
      </c>
      <c r="AJ179" s="61">
        <f>AI179/AI$488</f>
        <v>0.54909691031791608</v>
      </c>
    </row>
    <row r="180" spans="1:36" ht="15" customHeight="1" x14ac:dyDescent="0.2">
      <c r="A180" s="27" t="s">
        <v>314</v>
      </c>
      <c r="B180" s="27"/>
      <c r="C180" s="27" t="s">
        <v>116</v>
      </c>
      <c r="D180" s="27">
        <v>32</v>
      </c>
      <c r="E180" s="27"/>
      <c r="F180" s="27" t="s">
        <v>12</v>
      </c>
      <c r="G180" s="27" t="s">
        <v>432</v>
      </c>
      <c r="H180" s="27">
        <v>4</v>
      </c>
      <c r="I180" s="27" t="s">
        <v>12</v>
      </c>
      <c r="J180" s="27">
        <v>1</v>
      </c>
      <c r="K180" s="27" t="s">
        <v>12</v>
      </c>
      <c r="L180" s="27">
        <v>10</v>
      </c>
      <c r="M180" s="30">
        <v>38</v>
      </c>
      <c r="N180" s="30">
        <v>58</v>
      </c>
      <c r="O180" s="30">
        <v>0</v>
      </c>
      <c r="P180" s="30">
        <v>73</v>
      </c>
      <c r="Q180" s="30">
        <v>157</v>
      </c>
      <c r="R180" s="30">
        <v>230</v>
      </c>
      <c r="S180" s="31">
        <f>R180/N180</f>
        <v>3.9655172413793105</v>
      </c>
      <c r="T180" s="32">
        <f>O180/R180</f>
        <v>0</v>
      </c>
      <c r="U180" s="32">
        <f>P180/R180</f>
        <v>0.31739130434782609</v>
      </c>
      <c r="V180" s="32">
        <f>Q180/R180</f>
        <v>0.68260869565217386</v>
      </c>
      <c r="W180" s="31" t="e">
        <f>P180/O180</f>
        <v>#DIV/0!</v>
      </c>
      <c r="X180" s="31">
        <f>Q180/(O180+P180)</f>
        <v>2.1506849315068495</v>
      </c>
      <c r="Y180" s="65">
        <f>R180/R$488</f>
        <v>6.6814044893228253E-4</v>
      </c>
      <c r="Z180" s="30">
        <v>304</v>
      </c>
      <c r="AA180" s="30">
        <v>390</v>
      </c>
      <c r="AB180" s="30">
        <v>470</v>
      </c>
      <c r="AC180" s="34">
        <f>Z180/R180</f>
        <v>1.3217391304347825</v>
      </c>
      <c r="AD180" s="34">
        <f>AA180/Z180</f>
        <v>1.2828947368421053</v>
      </c>
      <c r="AE180" s="34">
        <f>AB180/AA180</f>
        <v>1.2051282051282051</v>
      </c>
      <c r="AF180" s="35">
        <f>AB180/R180</f>
        <v>2.0434782608695654</v>
      </c>
      <c r="AG180" s="29">
        <f>0.6*Z180+0.4*AA180</f>
        <v>338.4</v>
      </c>
      <c r="AH180" s="57">
        <v>971</v>
      </c>
      <c r="AI180" s="59">
        <f>AH180/AG180</f>
        <v>2.8693853427895983</v>
      </c>
      <c r="AJ180" s="61">
        <f>AI180/AI$488</f>
        <v>0.60975679920273507</v>
      </c>
    </row>
    <row r="181" spans="1:36" ht="15" customHeight="1" x14ac:dyDescent="0.2">
      <c r="A181" s="27" t="s">
        <v>102</v>
      </c>
      <c r="B181" s="27"/>
      <c r="C181" s="28" t="s">
        <v>116</v>
      </c>
      <c r="D181" s="27">
        <v>32</v>
      </c>
      <c r="E181" s="27"/>
      <c r="F181" s="27" t="s">
        <v>12</v>
      </c>
      <c r="G181" s="27" t="s">
        <v>432</v>
      </c>
      <c r="H181" s="27">
        <v>4</v>
      </c>
      <c r="I181" s="27" t="s">
        <v>12</v>
      </c>
      <c r="J181" s="27">
        <v>1</v>
      </c>
      <c r="K181" s="27" t="s">
        <v>12</v>
      </c>
      <c r="L181" s="27">
        <v>11</v>
      </c>
      <c r="M181" s="30">
        <v>74</v>
      </c>
      <c r="N181" s="30">
        <v>123</v>
      </c>
      <c r="O181" s="30">
        <v>8</v>
      </c>
      <c r="P181" s="30">
        <v>115</v>
      </c>
      <c r="Q181" s="30">
        <v>425</v>
      </c>
      <c r="R181" s="30">
        <v>548</v>
      </c>
      <c r="S181" s="31">
        <f>R181/N181</f>
        <v>4.4552845528455283</v>
      </c>
      <c r="T181" s="32">
        <f>O181/R181</f>
        <v>1.4598540145985401E-2</v>
      </c>
      <c r="U181" s="32">
        <f>P181/R181</f>
        <v>0.20985401459854014</v>
      </c>
      <c r="V181" s="32">
        <f>Q181/R181</f>
        <v>0.77554744525547448</v>
      </c>
      <c r="W181" s="31">
        <f>P181/O181</f>
        <v>14.375</v>
      </c>
      <c r="X181" s="31">
        <f>Q181/(O181+P181)</f>
        <v>3.4552845528455283</v>
      </c>
      <c r="Y181" s="65">
        <f>R181/R$488</f>
        <v>1.5919172435430035E-3</v>
      </c>
      <c r="Z181" s="30">
        <v>613</v>
      </c>
      <c r="AA181" s="30">
        <v>665</v>
      </c>
      <c r="AB181" s="30">
        <v>620</v>
      </c>
      <c r="AC181" s="34">
        <f>Z181/R181</f>
        <v>1.1186131386861313</v>
      </c>
      <c r="AD181" s="34">
        <f>AA181/Z181</f>
        <v>1.0848287112561175</v>
      </c>
      <c r="AE181" s="34">
        <f>AB181/AA181</f>
        <v>0.93233082706766912</v>
      </c>
      <c r="AF181" s="35">
        <f>AB181/R181</f>
        <v>1.1313868613138687</v>
      </c>
      <c r="AG181" s="29">
        <f>0.6*Z181+0.4*AA181</f>
        <v>633.79999999999995</v>
      </c>
      <c r="AH181" s="57">
        <v>1857</v>
      </c>
      <c r="AI181" s="59">
        <f>AH181/AG181</f>
        <v>2.929946355317135</v>
      </c>
      <c r="AJ181" s="61">
        <f>AI181/AI$488</f>
        <v>0.62262627637075008</v>
      </c>
    </row>
    <row r="182" spans="1:36" ht="15" customHeight="1" x14ac:dyDescent="0.2">
      <c r="A182" s="27" t="s">
        <v>630</v>
      </c>
      <c r="B182" s="27"/>
      <c r="C182" s="27" t="s">
        <v>116</v>
      </c>
      <c r="D182" s="27">
        <v>32</v>
      </c>
      <c r="E182" s="27"/>
      <c r="F182" s="27" t="s">
        <v>12</v>
      </c>
      <c r="G182" s="27" t="s">
        <v>432</v>
      </c>
      <c r="H182" s="27">
        <v>4</v>
      </c>
      <c r="I182" s="27" t="s">
        <v>12</v>
      </c>
      <c r="J182" s="27">
        <v>1</v>
      </c>
      <c r="K182" s="27">
        <v>6</v>
      </c>
      <c r="L182" s="27">
        <v>57</v>
      </c>
      <c r="M182" s="29">
        <v>26</v>
      </c>
      <c r="N182" s="30">
        <v>32</v>
      </c>
      <c r="O182" s="30">
        <v>4</v>
      </c>
      <c r="P182" s="30">
        <v>43</v>
      </c>
      <c r="Q182" s="30">
        <v>86</v>
      </c>
      <c r="R182" s="30">
        <v>133</v>
      </c>
      <c r="S182" s="31">
        <f>R182/N182</f>
        <v>4.15625</v>
      </c>
      <c r="T182" s="32">
        <f>O182/R182</f>
        <v>3.007518796992481E-2</v>
      </c>
      <c r="U182" s="32">
        <f>P182/R182</f>
        <v>0.32330827067669171</v>
      </c>
      <c r="V182" s="32">
        <f>Q182/R182</f>
        <v>0.64661654135338342</v>
      </c>
      <c r="W182" s="31">
        <f>P182/O182</f>
        <v>10.75</v>
      </c>
      <c r="X182" s="31">
        <f>Q182/(O182+P182)</f>
        <v>1.8297872340425532</v>
      </c>
      <c r="Y182" s="65">
        <f>R182/R$488</f>
        <v>3.8635947699127641E-4</v>
      </c>
      <c r="Z182" s="30">
        <v>167</v>
      </c>
      <c r="AA182" s="30">
        <v>206</v>
      </c>
      <c r="AB182" s="29">
        <v>467</v>
      </c>
      <c r="AC182" s="34">
        <f>Z182/R182</f>
        <v>1.255639097744361</v>
      </c>
      <c r="AD182" s="34">
        <f>AA182/Z182</f>
        <v>1.2335329341317365</v>
      </c>
      <c r="AE182" s="34">
        <f>AB182/AA182</f>
        <v>2.266990291262136</v>
      </c>
      <c r="AF182" s="35">
        <f>AB182/R182</f>
        <v>3.511278195488722</v>
      </c>
      <c r="AG182" s="29">
        <f>0.6*Z182+0.4*AA182</f>
        <v>182.60000000000002</v>
      </c>
      <c r="AH182" s="54">
        <v>1582</v>
      </c>
      <c r="AI182" s="59">
        <f>AH182/AG182</f>
        <v>8.663745892661554</v>
      </c>
      <c r="AJ182" s="61">
        <f>AI182/AI$488</f>
        <v>1.8410834842695853</v>
      </c>
    </row>
    <row r="183" spans="1:36" ht="15" customHeight="1" x14ac:dyDescent="0.2">
      <c r="A183" s="27" t="s">
        <v>101</v>
      </c>
      <c r="B183" s="27"/>
      <c r="C183" s="28" t="s">
        <v>116</v>
      </c>
      <c r="D183" s="27">
        <v>32</v>
      </c>
      <c r="E183" s="27"/>
      <c r="F183" s="27" t="s">
        <v>12</v>
      </c>
      <c r="G183" s="27" t="s">
        <v>432</v>
      </c>
      <c r="H183" s="27">
        <v>4</v>
      </c>
      <c r="I183" s="27" t="s">
        <v>12</v>
      </c>
      <c r="J183" s="27">
        <v>1</v>
      </c>
      <c r="K183" s="27" t="s">
        <v>12</v>
      </c>
      <c r="L183" s="27">
        <v>12</v>
      </c>
      <c r="M183" s="30">
        <v>45</v>
      </c>
      <c r="N183" s="30">
        <v>51</v>
      </c>
      <c r="O183" s="30">
        <v>0</v>
      </c>
      <c r="P183" s="30">
        <v>73</v>
      </c>
      <c r="Q183" s="30">
        <v>237</v>
      </c>
      <c r="R183" s="30">
        <v>310</v>
      </c>
      <c r="S183" s="31">
        <f>R183/N183</f>
        <v>6.0784313725490193</v>
      </c>
      <c r="T183" s="32">
        <f>O183/R183</f>
        <v>0</v>
      </c>
      <c r="U183" s="32">
        <f>P183/R183</f>
        <v>0.23548387096774193</v>
      </c>
      <c r="V183" s="32">
        <f>Q183/R183</f>
        <v>0.76451612903225807</v>
      </c>
      <c r="W183" s="31" t="e">
        <f>P183/O183</f>
        <v>#DIV/0!</v>
      </c>
      <c r="X183" s="31">
        <f>Q183/(O183+P183)</f>
        <v>3.2465753424657535</v>
      </c>
      <c r="Y183" s="65">
        <f>R183/R$488</f>
        <v>9.0053712682177213E-4</v>
      </c>
      <c r="Z183" s="30">
        <v>295</v>
      </c>
      <c r="AA183" s="30">
        <v>329</v>
      </c>
      <c r="AB183" s="30">
        <v>298</v>
      </c>
      <c r="AC183" s="34">
        <f>Z183/R183</f>
        <v>0.95161290322580649</v>
      </c>
      <c r="AD183" s="34">
        <f>AA183/Z183</f>
        <v>1.1152542372881356</v>
      </c>
      <c r="AE183" s="34">
        <f>AB183/AA183</f>
        <v>0.9057750759878419</v>
      </c>
      <c r="AF183" s="35">
        <f>AB183/R183</f>
        <v>0.96129032258064517</v>
      </c>
      <c r="AG183" s="29">
        <f>0.6*Z183+0.4*AA183</f>
        <v>308.60000000000002</v>
      </c>
      <c r="AH183" s="57">
        <v>1893</v>
      </c>
      <c r="AI183" s="59">
        <f>AH183/AG183</f>
        <v>6.1341542449773163</v>
      </c>
      <c r="AJ183" s="61">
        <f>AI183/AI$488</f>
        <v>1.3035343153307186</v>
      </c>
    </row>
    <row r="184" spans="1:36" ht="15" customHeight="1" x14ac:dyDescent="0.2">
      <c r="A184" s="28" t="s">
        <v>79</v>
      </c>
      <c r="B184" s="28"/>
      <c r="C184" s="28" t="s">
        <v>116</v>
      </c>
      <c r="D184" s="27">
        <v>32</v>
      </c>
      <c r="E184" s="27"/>
      <c r="F184" s="27" t="s">
        <v>12</v>
      </c>
      <c r="G184" s="27" t="s">
        <v>432</v>
      </c>
      <c r="H184" s="27">
        <v>4</v>
      </c>
      <c r="I184" s="27" t="s">
        <v>12</v>
      </c>
      <c r="J184" s="27">
        <v>1</v>
      </c>
      <c r="K184" s="27" t="s">
        <v>12</v>
      </c>
      <c r="L184" s="27">
        <v>13</v>
      </c>
      <c r="M184" s="30">
        <v>59</v>
      </c>
      <c r="N184" s="30">
        <v>93</v>
      </c>
      <c r="O184" s="30">
        <v>1</v>
      </c>
      <c r="P184" s="30">
        <v>96</v>
      </c>
      <c r="Q184" s="30">
        <v>281</v>
      </c>
      <c r="R184" s="30">
        <v>378</v>
      </c>
      <c r="S184" s="31">
        <f>R184/N184</f>
        <v>4.064516129032258</v>
      </c>
      <c r="T184" s="32">
        <f>O184/R184</f>
        <v>2.6455026455026454E-3</v>
      </c>
      <c r="U184" s="32">
        <f>P184/R184</f>
        <v>0.25396825396825395</v>
      </c>
      <c r="V184" s="32">
        <f>Q184/R184</f>
        <v>0.74338624338624337</v>
      </c>
      <c r="W184" s="31">
        <f>P184/O184</f>
        <v>96</v>
      </c>
      <c r="X184" s="31">
        <f>Q184/(O184+P184)</f>
        <v>2.8969072164948453</v>
      </c>
      <c r="Y184" s="65">
        <f>R184/R$488</f>
        <v>1.0980743030278382E-3</v>
      </c>
      <c r="Z184" s="30">
        <v>435</v>
      </c>
      <c r="AA184" s="30">
        <v>544</v>
      </c>
      <c r="AB184" s="30">
        <v>708</v>
      </c>
      <c r="AC184" s="34">
        <f>Z184/R184</f>
        <v>1.1507936507936507</v>
      </c>
      <c r="AD184" s="34">
        <f>AA184/Z184</f>
        <v>1.2505747126436781</v>
      </c>
      <c r="AE184" s="34">
        <f>AB184/AA184</f>
        <v>1.3014705882352942</v>
      </c>
      <c r="AF184" s="35">
        <f>AB184/R184</f>
        <v>1.873015873015873</v>
      </c>
      <c r="AG184" s="29">
        <f>0.6*Z184+0.4*AA184</f>
        <v>478.6</v>
      </c>
      <c r="AH184" s="57">
        <v>1559</v>
      </c>
      <c r="AI184" s="59">
        <f>AH184/AG184</f>
        <v>3.2574174676138736</v>
      </c>
      <c r="AJ184" s="61">
        <f>AI184/AI$488</f>
        <v>0.69221530447643254</v>
      </c>
    </row>
    <row r="185" spans="1:36" ht="15" customHeight="1" x14ac:dyDescent="0.2">
      <c r="A185" s="28" t="s">
        <v>80</v>
      </c>
      <c r="B185" s="28"/>
      <c r="C185" s="28" t="s">
        <v>116</v>
      </c>
      <c r="D185" s="27">
        <v>32</v>
      </c>
      <c r="E185" s="27"/>
      <c r="F185" s="27" t="s">
        <v>12</v>
      </c>
      <c r="G185" s="27" t="s">
        <v>432</v>
      </c>
      <c r="H185" s="27">
        <v>4</v>
      </c>
      <c r="I185" s="27" t="s">
        <v>12</v>
      </c>
      <c r="J185" s="27">
        <v>1</v>
      </c>
      <c r="K185" s="27" t="s">
        <v>12</v>
      </c>
      <c r="L185" s="27">
        <v>14</v>
      </c>
      <c r="M185" s="30">
        <v>299</v>
      </c>
      <c r="N185" s="30">
        <v>552</v>
      </c>
      <c r="O185" s="30">
        <v>0</v>
      </c>
      <c r="P185" s="30">
        <v>403</v>
      </c>
      <c r="Q185" s="30">
        <v>1732</v>
      </c>
      <c r="R185" s="30">
        <v>2135</v>
      </c>
      <c r="S185" s="31">
        <f>R185/N185</f>
        <v>3.8677536231884058</v>
      </c>
      <c r="T185" s="32">
        <f>O185/R185</f>
        <v>0</v>
      </c>
      <c r="U185" s="32">
        <f>P185/R185</f>
        <v>0.18875878220140516</v>
      </c>
      <c r="V185" s="32">
        <f>Q185/R185</f>
        <v>0.81124121779859482</v>
      </c>
      <c r="W185" s="31" t="e">
        <f>P185/O185</f>
        <v>#DIV/0!</v>
      </c>
      <c r="X185" s="31">
        <f>Q185/(O185+P185)</f>
        <v>4.2977667493796528</v>
      </c>
      <c r="Y185" s="65">
        <f>R185/R$488</f>
        <v>6.2020863411757525E-3</v>
      </c>
      <c r="Z185" s="30">
        <v>2196</v>
      </c>
      <c r="AA185" s="30">
        <v>3084</v>
      </c>
      <c r="AB185" s="30">
        <v>3516</v>
      </c>
      <c r="AC185" s="34">
        <f>Z185/R185</f>
        <v>1.0285714285714285</v>
      </c>
      <c r="AD185" s="34">
        <f>AA185/Z185</f>
        <v>1.4043715846994536</v>
      </c>
      <c r="AE185" s="34">
        <f>AB185/AA185</f>
        <v>1.1400778210116731</v>
      </c>
      <c r="AF185" s="35">
        <f>AB185/R185</f>
        <v>1.6468384074941451</v>
      </c>
      <c r="AG185" s="29">
        <f>0.6*Z185+0.4*AA185</f>
        <v>2551.1999999999998</v>
      </c>
      <c r="AH185" s="57">
        <v>3959</v>
      </c>
      <c r="AI185" s="59">
        <f>AH185/AG185</f>
        <v>1.5518187519598621</v>
      </c>
      <c r="AJ185" s="61">
        <f>AI185/AI$488</f>
        <v>0.32976819844556249</v>
      </c>
    </row>
    <row r="186" spans="1:36" ht="15" customHeight="1" x14ac:dyDescent="0.2">
      <c r="A186" s="28" t="s">
        <v>449</v>
      </c>
      <c r="B186" s="28"/>
      <c r="C186" s="28" t="s">
        <v>116</v>
      </c>
      <c r="D186" s="27">
        <v>32</v>
      </c>
      <c r="E186" s="27"/>
      <c r="F186" s="27" t="s">
        <v>12</v>
      </c>
      <c r="G186" s="27" t="s">
        <v>432</v>
      </c>
      <c r="H186" s="27">
        <v>4</v>
      </c>
      <c r="I186" s="27" t="s">
        <v>12</v>
      </c>
      <c r="J186" s="27">
        <v>1</v>
      </c>
      <c r="K186" s="27" t="s">
        <v>12</v>
      </c>
      <c r="L186" s="27">
        <v>15</v>
      </c>
      <c r="M186" s="30">
        <v>101</v>
      </c>
      <c r="N186" s="30">
        <v>138</v>
      </c>
      <c r="O186" s="30">
        <v>8</v>
      </c>
      <c r="P186" s="30">
        <v>145</v>
      </c>
      <c r="Q186" s="30">
        <v>566</v>
      </c>
      <c r="R186" s="30">
        <v>719</v>
      </c>
      <c r="S186" s="31">
        <f>R186/N186</f>
        <v>5.2101449275362315</v>
      </c>
      <c r="T186" s="32">
        <f>O186/R186</f>
        <v>1.1126564673157162E-2</v>
      </c>
      <c r="U186" s="32">
        <f>P186/R186</f>
        <v>0.20166898470097358</v>
      </c>
      <c r="V186" s="32">
        <f>Q186/R186</f>
        <v>0.7872044506258693</v>
      </c>
      <c r="W186" s="31">
        <f>P186/O186</f>
        <v>18.125</v>
      </c>
      <c r="X186" s="31">
        <f>Q186/(O186+P186)</f>
        <v>3.6993464052287583</v>
      </c>
      <c r="Y186" s="65">
        <f>R186/R$488</f>
        <v>2.0886651425317876E-3</v>
      </c>
      <c r="Z186" s="30">
        <v>822</v>
      </c>
      <c r="AA186" s="30">
        <v>1090</v>
      </c>
      <c r="AB186" s="30">
        <v>1258</v>
      </c>
      <c r="AC186" s="34">
        <f>Z186/R186</f>
        <v>1.1432545201668984</v>
      </c>
      <c r="AD186" s="34">
        <f>AA186/Z186</f>
        <v>1.3260340632603407</v>
      </c>
      <c r="AE186" s="34">
        <f>AB186/AA186</f>
        <v>1.1541284403669725</v>
      </c>
      <c r="AF186" s="35">
        <f>AB186/R186</f>
        <v>1.7496522948539639</v>
      </c>
      <c r="AG186" s="29">
        <f>0.6*Z186+0.4*AA186</f>
        <v>929.2</v>
      </c>
      <c r="AH186" s="57">
        <v>1027</v>
      </c>
      <c r="AI186" s="59">
        <f>AH186/AG186</f>
        <v>1.1052518295307792</v>
      </c>
      <c r="AJ186" s="61">
        <f>AI186/AI$488</f>
        <v>0.23487079544097053</v>
      </c>
    </row>
    <row r="187" spans="1:36" ht="15" customHeight="1" x14ac:dyDescent="0.2">
      <c r="A187" s="28" t="s">
        <v>83</v>
      </c>
      <c r="B187" s="28"/>
      <c r="C187" s="28" t="s">
        <v>116</v>
      </c>
      <c r="D187" s="27">
        <v>32</v>
      </c>
      <c r="E187" s="27"/>
      <c r="F187" s="27" t="s">
        <v>12</v>
      </c>
      <c r="G187" s="27" t="s">
        <v>432</v>
      </c>
      <c r="H187" s="27">
        <v>4</v>
      </c>
      <c r="I187" s="27" t="s">
        <v>12</v>
      </c>
      <c r="J187" s="27">
        <v>1</v>
      </c>
      <c r="K187" s="27" t="s">
        <v>12</v>
      </c>
      <c r="L187" s="27">
        <v>16</v>
      </c>
      <c r="M187" s="30">
        <v>91</v>
      </c>
      <c r="N187" s="30">
        <v>118</v>
      </c>
      <c r="O187" s="30">
        <v>3</v>
      </c>
      <c r="P187" s="30">
        <v>120</v>
      </c>
      <c r="Q187" s="40">
        <v>453</v>
      </c>
      <c r="R187" s="30">
        <v>576</v>
      </c>
      <c r="S187" s="31">
        <f>R187/N187</f>
        <v>4.8813559322033901</v>
      </c>
      <c r="T187" s="32">
        <f>O187/R187</f>
        <v>5.208333333333333E-3</v>
      </c>
      <c r="U187" s="32">
        <f>P187/R187</f>
        <v>0.20833333333333334</v>
      </c>
      <c r="V187" s="32">
        <f>Q187/R187</f>
        <v>0.78645833333333337</v>
      </c>
      <c r="W187" s="31">
        <f>P187/O187</f>
        <v>40</v>
      </c>
      <c r="X187" s="31">
        <f>Q187/(O187+P187)</f>
        <v>3.6829268292682928</v>
      </c>
      <c r="Y187" s="65">
        <f>R187/R$488</f>
        <v>1.673256080804325E-3</v>
      </c>
      <c r="Z187" s="30">
        <v>759</v>
      </c>
      <c r="AA187" s="30">
        <v>922</v>
      </c>
      <c r="AB187" s="30">
        <v>964</v>
      </c>
      <c r="AC187" s="34">
        <f>Z187/R187</f>
        <v>1.3177083333333333</v>
      </c>
      <c r="AD187" s="34">
        <f>AA187/Z187</f>
        <v>1.214756258234519</v>
      </c>
      <c r="AE187" s="34">
        <f>AB187/AA187</f>
        <v>1.0455531453362257</v>
      </c>
      <c r="AF187" s="35">
        <f>AB187/R187</f>
        <v>1.6736111111111112</v>
      </c>
      <c r="AG187" s="29">
        <f>0.6*Z187+0.4*AA187</f>
        <v>824.2</v>
      </c>
      <c r="AH187" s="57">
        <v>2049</v>
      </c>
      <c r="AI187" s="59">
        <f>AH187/AG187</f>
        <v>2.4860470759524387</v>
      </c>
      <c r="AJ187" s="61">
        <f>AI187/AI$488</f>
        <v>0.52829575905839987</v>
      </c>
    </row>
    <row r="188" spans="1:36" ht="15" customHeight="1" x14ac:dyDescent="0.2">
      <c r="A188" s="28" t="s">
        <v>32</v>
      </c>
      <c r="B188" s="28"/>
      <c r="C188" s="28" t="s">
        <v>116</v>
      </c>
      <c r="D188" s="27">
        <v>32</v>
      </c>
      <c r="E188" s="27"/>
      <c r="F188" s="27" t="s">
        <v>12</v>
      </c>
      <c r="G188" s="27" t="s">
        <v>432</v>
      </c>
      <c r="H188" s="27">
        <v>4</v>
      </c>
      <c r="I188" s="27" t="s">
        <v>12</v>
      </c>
      <c r="J188" s="27">
        <v>1</v>
      </c>
      <c r="K188" s="27" t="s">
        <v>12</v>
      </c>
      <c r="L188" s="27">
        <v>17</v>
      </c>
      <c r="M188" s="30">
        <v>35</v>
      </c>
      <c r="N188" s="30">
        <v>53</v>
      </c>
      <c r="O188" s="30">
        <v>8</v>
      </c>
      <c r="P188" s="30">
        <v>30</v>
      </c>
      <c r="Q188" s="30">
        <v>193</v>
      </c>
      <c r="R188" s="30">
        <v>231</v>
      </c>
      <c r="S188" s="31">
        <f>R188/N188</f>
        <v>4.3584905660377355</v>
      </c>
      <c r="T188" s="32">
        <f>O188/R188</f>
        <v>3.4632034632034632E-2</v>
      </c>
      <c r="U188" s="32">
        <f>P188/R188</f>
        <v>0.12987012987012986</v>
      </c>
      <c r="V188" s="32">
        <f>Q188/R188</f>
        <v>0.83549783549783552</v>
      </c>
      <c r="W188" s="31">
        <f>P188/O188</f>
        <v>3.75</v>
      </c>
      <c r="X188" s="31">
        <f>Q188/(O188+P188)</f>
        <v>5.0789473684210522</v>
      </c>
      <c r="Y188" s="65">
        <f>R188/R$488</f>
        <v>6.7104540740590111E-4</v>
      </c>
      <c r="Z188" s="30">
        <v>201</v>
      </c>
      <c r="AA188" s="30">
        <v>388</v>
      </c>
      <c r="AB188" s="30">
        <v>379</v>
      </c>
      <c r="AC188" s="34">
        <f>Z188/R188</f>
        <v>0.87012987012987009</v>
      </c>
      <c r="AD188" s="34">
        <f>AA188/Z188</f>
        <v>1.9303482587064678</v>
      </c>
      <c r="AE188" s="34">
        <f>AB188/AA188</f>
        <v>0.97680412371134018</v>
      </c>
      <c r="AF188" s="35">
        <f>AB188/R188</f>
        <v>1.6406926406926408</v>
      </c>
      <c r="AG188" s="29">
        <f>0.6*Z188+0.4*AA188</f>
        <v>275.8</v>
      </c>
      <c r="AH188" s="57">
        <v>676</v>
      </c>
      <c r="AI188" s="59">
        <f>AH188/AG188</f>
        <v>2.4510514865844812</v>
      </c>
      <c r="AJ188" s="61">
        <f>AI188/AI$488</f>
        <v>0.52085904491582558</v>
      </c>
    </row>
    <row r="189" spans="1:36" ht="15" customHeight="1" x14ac:dyDescent="0.2">
      <c r="A189" s="28" t="s">
        <v>581</v>
      </c>
      <c r="B189" s="28"/>
      <c r="C189" s="28" t="s">
        <v>116</v>
      </c>
      <c r="D189" s="27">
        <v>32</v>
      </c>
      <c r="E189" s="27"/>
      <c r="F189" s="27" t="s">
        <v>12</v>
      </c>
      <c r="G189" s="27" t="s">
        <v>432</v>
      </c>
      <c r="H189" s="27">
        <v>4</v>
      </c>
      <c r="I189" s="27" t="s">
        <v>12</v>
      </c>
      <c r="J189" s="27">
        <v>1</v>
      </c>
      <c r="K189" s="27" t="s">
        <v>12</v>
      </c>
      <c r="L189" s="27">
        <v>18</v>
      </c>
      <c r="M189" s="30">
        <v>196</v>
      </c>
      <c r="N189" s="30">
        <v>276</v>
      </c>
      <c r="O189" s="30">
        <v>0</v>
      </c>
      <c r="P189" s="30">
        <v>228</v>
      </c>
      <c r="Q189" s="30">
        <v>902</v>
      </c>
      <c r="R189" s="30">
        <v>1130</v>
      </c>
      <c r="S189" s="31">
        <f>R189/N189</f>
        <v>4.0942028985507246</v>
      </c>
      <c r="T189" s="32">
        <f>O189/R189</f>
        <v>0</v>
      </c>
      <c r="U189" s="32">
        <f>P189/R189</f>
        <v>0.20176991150442478</v>
      </c>
      <c r="V189" s="32">
        <f>Q189/R189</f>
        <v>0.7982300884955752</v>
      </c>
      <c r="W189" s="31" t="e">
        <f>P189/O189</f>
        <v>#DIV/0!</v>
      </c>
      <c r="X189" s="31">
        <f>Q189/(O189+P189)</f>
        <v>3.9561403508771931</v>
      </c>
      <c r="Y189" s="65">
        <f>R189/R$488</f>
        <v>3.2826030751890401E-3</v>
      </c>
      <c r="Z189" s="30">
        <v>1321</v>
      </c>
      <c r="AA189" s="30">
        <v>1550</v>
      </c>
      <c r="AB189" s="30">
        <v>1638</v>
      </c>
      <c r="AC189" s="34">
        <f>Z189/R189</f>
        <v>1.1690265486725664</v>
      </c>
      <c r="AD189" s="34">
        <f>AA189/Z189</f>
        <v>1.1733535200605603</v>
      </c>
      <c r="AE189" s="34">
        <f>AB189/AA189</f>
        <v>1.0567741935483872</v>
      </c>
      <c r="AF189" s="35">
        <f>AB189/R189</f>
        <v>1.4495575221238939</v>
      </c>
      <c r="AG189" s="29">
        <f>0.6*Z189+0.4*AA189</f>
        <v>1412.6</v>
      </c>
      <c r="AH189" s="57">
        <v>2825</v>
      </c>
      <c r="AI189" s="59">
        <f>AH189/AG189</f>
        <v>1.9998584171032141</v>
      </c>
      <c r="AJ189" s="61">
        <f>AI189/AI$488</f>
        <v>0.42497856564848296</v>
      </c>
    </row>
    <row r="190" spans="1:36" ht="15" customHeight="1" x14ac:dyDescent="0.2">
      <c r="A190" s="27" t="s">
        <v>100</v>
      </c>
      <c r="B190" s="27"/>
      <c r="C190" s="28" t="s">
        <v>116</v>
      </c>
      <c r="D190" s="27">
        <v>32</v>
      </c>
      <c r="E190" s="27"/>
      <c r="F190" s="27" t="s">
        <v>12</v>
      </c>
      <c r="G190" s="27" t="s">
        <v>432</v>
      </c>
      <c r="H190" s="27">
        <v>4</v>
      </c>
      <c r="I190" s="27" t="s">
        <v>12</v>
      </c>
      <c r="J190" s="27">
        <v>1</v>
      </c>
      <c r="K190" s="27" t="s">
        <v>12</v>
      </c>
      <c r="L190" s="27">
        <v>19</v>
      </c>
      <c r="M190" s="30">
        <v>44</v>
      </c>
      <c r="N190" s="30">
        <v>54</v>
      </c>
      <c r="O190" s="30">
        <v>0</v>
      </c>
      <c r="P190" s="30">
        <v>90</v>
      </c>
      <c r="Q190" s="30">
        <v>197</v>
      </c>
      <c r="R190" s="30">
        <v>287</v>
      </c>
      <c r="S190" s="31">
        <f>R190/N190</f>
        <v>5.3148148148148149</v>
      </c>
      <c r="T190" s="32">
        <f>O190/R190</f>
        <v>0</v>
      </c>
      <c r="U190" s="32">
        <f>P190/R190</f>
        <v>0.31358885017421601</v>
      </c>
      <c r="V190" s="32">
        <f>Q190/R190</f>
        <v>0.68641114982578399</v>
      </c>
      <c r="W190" s="31" t="e">
        <f>P190/O190</f>
        <v>#DIV/0!</v>
      </c>
      <c r="X190" s="31">
        <f>Q190/(O190+P190)</f>
        <v>2.1888888888888891</v>
      </c>
      <c r="Y190" s="65">
        <f>R190/R$488</f>
        <v>8.3372308192854378E-4</v>
      </c>
      <c r="Z190" s="30">
        <v>287</v>
      </c>
      <c r="AA190" s="30">
        <v>294</v>
      </c>
      <c r="AB190" s="30">
        <v>267</v>
      </c>
      <c r="AC190" s="34">
        <f>Z190/R190</f>
        <v>1</v>
      </c>
      <c r="AD190" s="34">
        <f>AA190/Z190</f>
        <v>1.024390243902439</v>
      </c>
      <c r="AE190" s="34">
        <f>AB190/AA190</f>
        <v>0.90816326530612246</v>
      </c>
      <c r="AF190" s="35">
        <f>AB190/R190</f>
        <v>0.93031358885017423</v>
      </c>
      <c r="AG190" s="29">
        <f>0.6*Z190+0.4*AA190</f>
        <v>289.8</v>
      </c>
      <c r="AH190" s="57">
        <v>1743</v>
      </c>
      <c r="AI190" s="59">
        <f>AH190/AG190</f>
        <v>6.0144927536231885</v>
      </c>
      <c r="AJ190" s="61">
        <f>AI190/AI$488</f>
        <v>1.278105730724866</v>
      </c>
    </row>
    <row r="191" spans="1:36" ht="15" customHeight="1" x14ac:dyDescent="0.2">
      <c r="A191" s="28" t="s">
        <v>629</v>
      </c>
      <c r="B191" s="28"/>
      <c r="C191" s="28" t="s">
        <v>116</v>
      </c>
      <c r="D191" s="27">
        <v>32</v>
      </c>
      <c r="E191" s="27"/>
      <c r="F191" s="27" t="s">
        <v>12</v>
      </c>
      <c r="G191" s="27" t="s">
        <v>432</v>
      </c>
      <c r="H191" s="27">
        <v>4</v>
      </c>
      <c r="I191" s="27" t="s">
        <v>12</v>
      </c>
      <c r="J191" s="27">
        <v>1</v>
      </c>
      <c r="K191" s="27" t="s">
        <v>12</v>
      </c>
      <c r="L191" s="27">
        <v>20</v>
      </c>
      <c r="M191" s="30">
        <v>450</v>
      </c>
      <c r="N191" s="30">
        <v>689</v>
      </c>
      <c r="O191" s="30">
        <v>67</v>
      </c>
      <c r="P191" s="30">
        <v>777</v>
      </c>
      <c r="Q191" s="30">
        <v>1863</v>
      </c>
      <c r="R191" s="30">
        <v>2707</v>
      </c>
      <c r="S191" s="31">
        <f>R191/N191</f>
        <v>3.9288824383164007</v>
      </c>
      <c r="T191" s="32">
        <f>O191/R191</f>
        <v>2.4750646472109346E-2</v>
      </c>
      <c r="U191" s="32">
        <f>P191/R191</f>
        <v>0.28703361654968601</v>
      </c>
      <c r="V191" s="32">
        <f>Q191/R191</f>
        <v>0.68821573697820471</v>
      </c>
      <c r="W191" s="31">
        <f>P191/O191</f>
        <v>11.597014925373134</v>
      </c>
      <c r="X191" s="31">
        <f>Q191/(O191+P191)</f>
        <v>2.2073459715639809</v>
      </c>
      <c r="Y191" s="65">
        <f>R191/R$488</f>
        <v>7.8637225880856029E-3</v>
      </c>
      <c r="Z191" s="30">
        <v>3294</v>
      </c>
      <c r="AA191" s="30">
        <v>4372</v>
      </c>
      <c r="AB191" s="30">
        <v>6602</v>
      </c>
      <c r="AC191" s="34">
        <f>Z191/R191</f>
        <v>1.2168452161063907</v>
      </c>
      <c r="AD191" s="34">
        <f>AA191/Z191</f>
        <v>1.3272616879174257</v>
      </c>
      <c r="AE191" s="34">
        <f>AB191/AA191</f>
        <v>1.5100640439158279</v>
      </c>
      <c r="AF191" s="35">
        <f>AB191/R191</f>
        <v>2.4388622090875507</v>
      </c>
      <c r="AG191" s="29">
        <f>0.6*Z191+0.4*AA191</f>
        <v>3725.2</v>
      </c>
      <c r="AH191" s="57">
        <v>8250</v>
      </c>
      <c r="AI191" s="59">
        <f>AH191/AG191</f>
        <v>2.2146461934929671</v>
      </c>
      <c r="AJ191" s="61">
        <f>AI191/AI$488</f>
        <v>0.47062189737051724</v>
      </c>
    </row>
    <row r="192" spans="1:36" ht="15" customHeight="1" x14ac:dyDescent="0.2">
      <c r="A192" s="27" t="s">
        <v>322</v>
      </c>
      <c r="B192" s="27"/>
      <c r="C192" s="27" t="s">
        <v>116</v>
      </c>
      <c r="D192" s="27">
        <v>32</v>
      </c>
      <c r="E192" s="27"/>
      <c r="F192" s="27" t="s">
        <v>12</v>
      </c>
      <c r="G192" s="27" t="s">
        <v>432</v>
      </c>
      <c r="H192" s="27">
        <v>4</v>
      </c>
      <c r="I192" s="27" t="s">
        <v>12</v>
      </c>
      <c r="J192" s="27">
        <v>1</v>
      </c>
      <c r="K192" s="27" t="s">
        <v>12</v>
      </c>
      <c r="L192" s="27">
        <v>21</v>
      </c>
      <c r="M192" s="30">
        <v>61</v>
      </c>
      <c r="N192" s="30">
        <v>74</v>
      </c>
      <c r="O192" s="30">
        <v>0</v>
      </c>
      <c r="P192" s="30">
        <v>43</v>
      </c>
      <c r="Q192" s="30">
        <v>438</v>
      </c>
      <c r="R192" s="30">
        <v>481</v>
      </c>
      <c r="S192" s="31">
        <f>R192/N192</f>
        <v>6.5</v>
      </c>
      <c r="T192" s="32">
        <f>O192/R192</f>
        <v>0</v>
      </c>
      <c r="U192" s="32">
        <f>P192/R192</f>
        <v>8.9397089397089402E-2</v>
      </c>
      <c r="V192" s="32">
        <f>Q192/R192</f>
        <v>0.91060291060291065</v>
      </c>
      <c r="W192" s="31" t="e">
        <f>P192/O192</f>
        <v>#DIV/0!</v>
      </c>
      <c r="X192" s="31">
        <f>Q192/(O192+P192)</f>
        <v>10.186046511627907</v>
      </c>
      <c r="Y192" s="65">
        <f>R192/R$488</f>
        <v>1.397285025810556E-3</v>
      </c>
      <c r="Z192" s="30">
        <v>428</v>
      </c>
      <c r="AA192" s="30">
        <v>452</v>
      </c>
      <c r="AB192" s="30">
        <v>482</v>
      </c>
      <c r="AC192" s="34">
        <f>Z192/R192</f>
        <v>0.88981288981288986</v>
      </c>
      <c r="AD192" s="34">
        <f>AA192/Z192</f>
        <v>1.0560747663551402</v>
      </c>
      <c r="AE192" s="34">
        <f>AB192/AA192</f>
        <v>1.0663716814159292</v>
      </c>
      <c r="AF192" s="35">
        <f>AB192/R192</f>
        <v>1.002079002079002</v>
      </c>
      <c r="AG192" s="29">
        <f>0.6*Z192+0.4*AA192</f>
        <v>437.6</v>
      </c>
      <c r="AH192" s="57">
        <v>1415</v>
      </c>
      <c r="AI192" s="59">
        <f>AH192/AG192</f>
        <v>3.2335466179159047</v>
      </c>
      <c r="AJ192" s="61">
        <f>AI192/AI$488</f>
        <v>0.68714264564283978</v>
      </c>
    </row>
    <row r="193" spans="1:36" ht="15" customHeight="1" x14ac:dyDescent="0.2">
      <c r="A193" s="28" t="s">
        <v>631</v>
      </c>
      <c r="B193" s="28"/>
      <c r="C193" s="28" t="s">
        <v>116</v>
      </c>
      <c r="D193" s="27">
        <v>32</v>
      </c>
      <c r="E193" s="27"/>
      <c r="F193" s="27" t="s">
        <v>12</v>
      </c>
      <c r="G193" s="27" t="s">
        <v>106</v>
      </c>
      <c r="H193" s="27">
        <v>12</v>
      </c>
      <c r="I193" s="27" t="s">
        <v>12</v>
      </c>
      <c r="J193" s="27">
        <v>1</v>
      </c>
      <c r="K193" s="27">
        <v>6</v>
      </c>
      <c r="L193" s="27">
        <v>61</v>
      </c>
      <c r="M193" s="29">
        <v>424</v>
      </c>
      <c r="N193" s="30">
        <v>501</v>
      </c>
      <c r="O193" s="30">
        <v>107</v>
      </c>
      <c r="P193" s="30">
        <v>1989</v>
      </c>
      <c r="Q193" s="30">
        <v>93</v>
      </c>
      <c r="R193" s="30">
        <v>2189</v>
      </c>
      <c r="S193" s="31">
        <f>R193/N193</f>
        <v>4.3692614770459084</v>
      </c>
      <c r="T193" s="32">
        <f>O193/R193</f>
        <v>4.8880767473732295E-2</v>
      </c>
      <c r="U193" s="32">
        <f>P193/R193</f>
        <v>0.90863407948835084</v>
      </c>
      <c r="V193" s="32">
        <f>Q193/R193</f>
        <v>4.2485153037916855E-2</v>
      </c>
      <c r="W193" s="31">
        <f>P193/O193</f>
        <v>18.588785046728972</v>
      </c>
      <c r="X193" s="31">
        <f>Q193/(O193+P193)</f>
        <v>4.4370229007633585E-2</v>
      </c>
      <c r="Y193" s="65">
        <f>R193/R$488</f>
        <v>6.3589540987511583E-3</v>
      </c>
      <c r="Z193" s="30">
        <v>2538</v>
      </c>
      <c r="AA193" s="30">
        <v>3245</v>
      </c>
      <c r="AB193" s="29">
        <v>4203</v>
      </c>
      <c r="AC193" s="34">
        <f>Z193/R193</f>
        <v>1.1594335312928277</v>
      </c>
      <c r="AD193" s="34">
        <f>AA193/Z193</f>
        <v>1.2785657998423956</v>
      </c>
      <c r="AE193" s="34">
        <f>AB193/AA193</f>
        <v>1.2952234206471496</v>
      </c>
      <c r="AF193" s="35">
        <f>AB193/R193</f>
        <v>1.9200548195523071</v>
      </c>
      <c r="AG193" s="29">
        <f>0.6*Z193+0.4*AA193</f>
        <v>2820.8</v>
      </c>
      <c r="AH193" s="54">
        <v>10208</v>
      </c>
      <c r="AI193" s="59">
        <f>AH193/AG193</f>
        <v>3.6188315371525808</v>
      </c>
      <c r="AJ193" s="61">
        <f>AI193/AI$488</f>
        <v>0.76901735784390035</v>
      </c>
    </row>
    <row r="194" spans="1:36" ht="15" customHeight="1" x14ac:dyDescent="0.2">
      <c r="A194" s="27" t="s">
        <v>35</v>
      </c>
      <c r="B194" s="27"/>
      <c r="C194" s="27" t="s">
        <v>35</v>
      </c>
      <c r="D194" s="27">
        <v>11</v>
      </c>
      <c r="E194" s="27"/>
      <c r="F194" s="27"/>
      <c r="G194" s="27" t="s">
        <v>106</v>
      </c>
      <c r="H194" s="27">
        <v>12</v>
      </c>
      <c r="I194" s="27" t="s">
        <v>111</v>
      </c>
      <c r="J194" s="27">
        <v>5</v>
      </c>
      <c r="K194" s="27">
        <v>6</v>
      </c>
      <c r="L194" s="27">
        <v>23</v>
      </c>
      <c r="M194" s="29">
        <v>91</v>
      </c>
      <c r="N194" s="30">
        <v>158</v>
      </c>
      <c r="O194" s="30">
        <v>217</v>
      </c>
      <c r="P194" s="30">
        <v>55</v>
      </c>
      <c r="Q194" s="30">
        <v>523</v>
      </c>
      <c r="R194" s="30">
        <v>795</v>
      </c>
      <c r="S194" s="31">
        <f>R194/N194</f>
        <v>5.0316455696202533</v>
      </c>
      <c r="T194" s="32">
        <f>O194/R194</f>
        <v>0.27295597484276729</v>
      </c>
      <c r="U194" s="32">
        <f>P194/R194</f>
        <v>6.9182389937106917E-2</v>
      </c>
      <c r="V194" s="32">
        <f>Q194/R194</f>
        <v>0.65786163522012575</v>
      </c>
      <c r="W194" s="31">
        <f>P194/O194</f>
        <v>0.25345622119815669</v>
      </c>
      <c r="X194" s="31">
        <f>Q194/(O194+P194)</f>
        <v>1.9227941176470589</v>
      </c>
      <c r="Y194" s="65">
        <f>R194/R$488</f>
        <v>2.3094419865268027E-3</v>
      </c>
      <c r="Z194" s="30">
        <v>824</v>
      </c>
      <c r="AA194" s="30">
        <v>928</v>
      </c>
      <c r="AB194" s="29">
        <v>1113</v>
      </c>
      <c r="AC194" s="34">
        <f>Z194/R194</f>
        <v>1.0364779874213836</v>
      </c>
      <c r="AD194" s="34">
        <f>AA194/Z194</f>
        <v>1.1262135922330097</v>
      </c>
      <c r="AE194" s="34">
        <f>AB194/AA194</f>
        <v>1.1993534482758621</v>
      </c>
      <c r="AF194" s="35">
        <f>AB194/R194</f>
        <v>1.4</v>
      </c>
      <c r="AG194" s="29">
        <f>0.6*Z194+0.4*AA194</f>
        <v>865.6</v>
      </c>
      <c r="AH194" s="54">
        <v>9724</v>
      </c>
      <c r="AI194" s="59">
        <f>AH194/AG194</f>
        <v>11.233826247689464</v>
      </c>
      <c r="AJ194" s="61">
        <f>AI194/AI$488</f>
        <v>2.3872366786858148</v>
      </c>
    </row>
    <row r="195" spans="1:36" ht="15" customHeight="1" x14ac:dyDescent="0.2">
      <c r="A195" s="28" t="s">
        <v>178</v>
      </c>
      <c r="B195" s="28"/>
      <c r="C195" s="28" t="s">
        <v>120</v>
      </c>
      <c r="D195" s="28">
        <v>9</v>
      </c>
      <c r="E195" s="27"/>
      <c r="F195" s="27"/>
      <c r="G195" s="27" t="s">
        <v>172</v>
      </c>
      <c r="H195" s="27">
        <v>1</v>
      </c>
      <c r="I195" s="27" t="s">
        <v>618</v>
      </c>
      <c r="J195" s="27">
        <v>6</v>
      </c>
      <c r="K195" s="27">
        <v>6</v>
      </c>
      <c r="L195" s="27">
        <v>27</v>
      </c>
      <c r="M195" s="29">
        <v>45</v>
      </c>
      <c r="N195" s="30">
        <v>56</v>
      </c>
      <c r="O195" s="30">
        <v>137</v>
      </c>
      <c r="P195" s="30">
        <v>10</v>
      </c>
      <c r="Q195" s="30">
        <v>146</v>
      </c>
      <c r="R195" s="30">
        <v>293</v>
      </c>
      <c r="S195" s="31">
        <f>R195/N195</f>
        <v>5.2321428571428568</v>
      </c>
      <c r="T195" s="32">
        <f>O195/R195</f>
        <v>0.46757679180887374</v>
      </c>
      <c r="U195" s="32">
        <f>P195/R195</f>
        <v>3.4129692832764506E-2</v>
      </c>
      <c r="V195" s="32">
        <f>Q195/R195</f>
        <v>0.49829351535836175</v>
      </c>
      <c r="W195" s="31">
        <f>P195/O195</f>
        <v>7.2992700729927001E-2</v>
      </c>
      <c r="X195" s="31">
        <f>Q195/(O195+P195)</f>
        <v>0.99319727891156462</v>
      </c>
      <c r="Y195" s="65">
        <f>R195/R$488</f>
        <v>8.5115283277025552E-4</v>
      </c>
      <c r="Z195" s="30">
        <v>336</v>
      </c>
      <c r="AA195" s="30">
        <v>379</v>
      </c>
      <c r="AB195" s="29">
        <v>377</v>
      </c>
      <c r="AC195" s="34">
        <f>Z195/R195</f>
        <v>1.1467576791808873</v>
      </c>
      <c r="AD195" s="34">
        <f>AA195/Z195</f>
        <v>1.1279761904761905</v>
      </c>
      <c r="AE195" s="34">
        <f>AB195/AA195</f>
        <v>0.99472295514511877</v>
      </c>
      <c r="AF195" s="35">
        <f>AB195/R195</f>
        <v>1.2866894197952219</v>
      </c>
      <c r="AG195" s="29">
        <f>0.6*Z195+0.4*AA195</f>
        <v>353.2</v>
      </c>
      <c r="AH195" s="54">
        <v>2077</v>
      </c>
      <c r="AI195" s="59">
        <f>AH195/AG195</f>
        <v>5.8805209513023788</v>
      </c>
      <c r="AJ195" s="61">
        <f>AI195/AI$488</f>
        <v>1.249636143127705</v>
      </c>
    </row>
    <row r="196" spans="1:36" ht="15" customHeight="1" x14ac:dyDescent="0.2">
      <c r="A196" s="28" t="s">
        <v>161</v>
      </c>
      <c r="B196" s="28">
        <v>4</v>
      </c>
      <c r="C196" s="28" t="s">
        <v>107</v>
      </c>
      <c r="D196" s="28">
        <v>7</v>
      </c>
      <c r="E196" s="27"/>
      <c r="F196" s="27"/>
      <c r="G196" s="27" t="s">
        <v>336</v>
      </c>
      <c r="H196" s="27">
        <v>10</v>
      </c>
      <c r="I196" s="27" t="s">
        <v>618</v>
      </c>
      <c r="J196" s="27">
        <v>6</v>
      </c>
      <c r="K196" s="27">
        <v>7</v>
      </c>
      <c r="L196" s="27">
        <v>13</v>
      </c>
      <c r="M196" s="29">
        <v>61</v>
      </c>
      <c r="N196" s="30">
        <v>66</v>
      </c>
      <c r="O196" s="30">
        <v>129</v>
      </c>
      <c r="P196" s="30">
        <v>14</v>
      </c>
      <c r="Q196" s="30">
        <v>144</v>
      </c>
      <c r="R196" s="30">
        <v>287</v>
      </c>
      <c r="S196" s="31">
        <f>R196/N196</f>
        <v>4.3484848484848486</v>
      </c>
      <c r="T196" s="32">
        <f>O196/R196</f>
        <v>0.44947735191637633</v>
      </c>
      <c r="U196" s="32">
        <f>P196/R196</f>
        <v>4.878048780487805E-2</v>
      </c>
      <c r="V196" s="32">
        <f>Q196/R196</f>
        <v>0.50174216027874563</v>
      </c>
      <c r="W196" s="31">
        <f>P196/O196</f>
        <v>0.10852713178294573</v>
      </c>
      <c r="X196" s="31">
        <f>Q196/(O196+P196)</f>
        <v>1.0069930069930071</v>
      </c>
      <c r="Y196" s="65">
        <f>R196/R$488</f>
        <v>8.3372308192854378E-4</v>
      </c>
      <c r="Z196" s="30">
        <v>300</v>
      </c>
      <c r="AA196" s="30">
        <v>346</v>
      </c>
      <c r="AB196" s="29">
        <v>360</v>
      </c>
      <c r="AC196" s="34">
        <f>Z196/R196</f>
        <v>1.0452961672473868</v>
      </c>
      <c r="AD196" s="34">
        <f>AA196/Z196</f>
        <v>1.1533333333333333</v>
      </c>
      <c r="AE196" s="34">
        <f>AB196/AA196</f>
        <v>1.0404624277456647</v>
      </c>
      <c r="AF196" s="35">
        <f>AB196/R196</f>
        <v>1.254355400696864</v>
      </c>
      <c r="AG196" s="29">
        <f>0.6*Z196+0.4*AA196</f>
        <v>318.39999999999998</v>
      </c>
      <c r="AH196" s="54">
        <v>2573</v>
      </c>
      <c r="AI196" s="59">
        <f>AH196/AG196</f>
        <v>8.0810301507537687</v>
      </c>
      <c r="AJ196" s="61">
        <f>AI196/AI$488</f>
        <v>1.7172538681033218</v>
      </c>
    </row>
    <row r="197" spans="1:36" ht="15" customHeight="1" x14ac:dyDescent="0.2">
      <c r="A197" s="28" t="s">
        <v>204</v>
      </c>
      <c r="B197" s="28"/>
      <c r="C197" s="28" t="s">
        <v>122</v>
      </c>
      <c r="D197" s="28">
        <v>15</v>
      </c>
      <c r="E197" s="27"/>
      <c r="F197" s="27"/>
      <c r="G197" s="27" t="s">
        <v>206</v>
      </c>
      <c r="H197" s="27">
        <v>16</v>
      </c>
      <c r="I197" s="27" t="s">
        <v>618</v>
      </c>
      <c r="J197" s="27">
        <v>6</v>
      </c>
      <c r="K197" s="27">
        <v>6</v>
      </c>
      <c r="L197" s="27">
        <v>26</v>
      </c>
      <c r="M197" s="29">
        <v>42</v>
      </c>
      <c r="N197" s="30">
        <v>49</v>
      </c>
      <c r="O197" s="30">
        <v>67</v>
      </c>
      <c r="P197" s="30">
        <v>5</v>
      </c>
      <c r="Q197" s="30">
        <v>180</v>
      </c>
      <c r="R197" s="30">
        <v>252</v>
      </c>
      <c r="S197" s="31">
        <f>R197/N197</f>
        <v>5.1428571428571432</v>
      </c>
      <c r="T197" s="32">
        <f>O197/R197</f>
        <v>0.26587301587301587</v>
      </c>
      <c r="U197" s="32">
        <f>P197/R197</f>
        <v>1.984126984126984E-2</v>
      </c>
      <c r="V197" s="32">
        <f>Q197/R197</f>
        <v>0.7142857142857143</v>
      </c>
      <c r="W197" s="31">
        <f>P197/O197</f>
        <v>7.4626865671641784E-2</v>
      </c>
      <c r="X197" s="31">
        <f>Q197/(O197+P197)</f>
        <v>2.5</v>
      </c>
      <c r="Y197" s="65">
        <f>R197/R$488</f>
        <v>7.3204953535189218E-4</v>
      </c>
      <c r="Z197" s="30">
        <v>258</v>
      </c>
      <c r="AA197" s="30">
        <v>321</v>
      </c>
      <c r="AB197" s="29">
        <v>343</v>
      </c>
      <c r="AC197" s="34">
        <f>Z197/R197</f>
        <v>1.0238095238095237</v>
      </c>
      <c r="AD197" s="34">
        <f>AA197/Z197</f>
        <v>1.2441860465116279</v>
      </c>
      <c r="AE197" s="34">
        <f>AB197/AA197</f>
        <v>1.0685358255451713</v>
      </c>
      <c r="AF197" s="35">
        <f>AB197/R197</f>
        <v>1.3611111111111112</v>
      </c>
      <c r="AG197" s="29">
        <f>0.6*Z197+0.4*AA197</f>
        <v>283.2</v>
      </c>
      <c r="AH197" s="54">
        <v>2190</v>
      </c>
      <c r="AI197" s="59">
        <f>AH197/AG197</f>
        <v>7.7330508474576272</v>
      </c>
      <c r="AJ197" s="61">
        <f>AI197/AI$488</f>
        <v>1.6433067606854068</v>
      </c>
    </row>
    <row r="198" spans="1:36" ht="15" customHeight="1" x14ac:dyDescent="0.2">
      <c r="A198" s="27" t="s">
        <v>357</v>
      </c>
      <c r="B198" s="27"/>
      <c r="C198" s="27" t="s">
        <v>325</v>
      </c>
      <c r="D198" s="27">
        <v>4</v>
      </c>
      <c r="E198" s="27"/>
      <c r="F198" s="27"/>
      <c r="G198" s="27" t="s">
        <v>350</v>
      </c>
      <c r="H198" s="27">
        <v>2</v>
      </c>
      <c r="I198" s="27" t="s">
        <v>620</v>
      </c>
      <c r="J198" s="27">
        <v>10</v>
      </c>
      <c r="K198" s="27">
        <v>1</v>
      </c>
      <c r="L198" s="27">
        <v>25</v>
      </c>
      <c r="M198" s="29">
        <v>33</v>
      </c>
      <c r="N198" s="30">
        <v>51</v>
      </c>
      <c r="O198" s="30">
        <v>212</v>
      </c>
      <c r="P198" s="30">
        <v>7</v>
      </c>
      <c r="Q198" s="30">
        <v>1</v>
      </c>
      <c r="R198" s="30">
        <v>220</v>
      </c>
      <c r="S198" s="31">
        <f>R198/N198</f>
        <v>4.3137254901960782</v>
      </c>
      <c r="T198" s="32">
        <f>O198/R198</f>
        <v>0.96363636363636362</v>
      </c>
      <c r="U198" s="32">
        <f>P198/R198</f>
        <v>3.1818181818181815E-2</v>
      </c>
      <c r="V198" s="32">
        <f>Q198/R198</f>
        <v>4.5454545454545452E-3</v>
      </c>
      <c r="W198" s="31">
        <f>P198/O198</f>
        <v>3.3018867924528301E-2</v>
      </c>
      <c r="X198" s="31">
        <f>Q198/(O198+P198)</f>
        <v>4.5662100456621002E-3</v>
      </c>
      <c r="Y198" s="65">
        <f>R198/R$488</f>
        <v>6.3909086419609634E-4</v>
      </c>
      <c r="Z198" s="30">
        <v>295</v>
      </c>
      <c r="AA198" s="30">
        <v>307</v>
      </c>
      <c r="AB198" s="29">
        <v>329</v>
      </c>
      <c r="AC198" s="34">
        <f>Z198/R198</f>
        <v>1.3409090909090908</v>
      </c>
      <c r="AD198" s="34">
        <f>AA198/Z198</f>
        <v>1.0406779661016949</v>
      </c>
      <c r="AE198" s="34">
        <f>AB198/AA198</f>
        <v>1.0716612377850163</v>
      </c>
      <c r="AF198" s="35">
        <f>AB198/R198</f>
        <v>1.4954545454545454</v>
      </c>
      <c r="AG198" s="29">
        <f>0.6*Z198+0.4*AA198</f>
        <v>299.8</v>
      </c>
      <c r="AH198" s="54">
        <v>1429</v>
      </c>
      <c r="AI198" s="59">
        <f>AH198/AG198</f>
        <v>4.7665110073382255</v>
      </c>
      <c r="AJ198" s="61">
        <f>AI198/AI$488</f>
        <v>1.0129042104792956</v>
      </c>
    </row>
    <row r="199" spans="1:36" ht="15" customHeight="1" x14ac:dyDescent="0.2">
      <c r="A199" s="27" t="s">
        <v>327</v>
      </c>
      <c r="B199" s="27"/>
      <c r="C199" s="27" t="s">
        <v>327</v>
      </c>
      <c r="D199" s="27">
        <v>12</v>
      </c>
      <c r="E199" s="27"/>
      <c r="F199" s="27"/>
      <c r="G199" s="27" t="s">
        <v>350</v>
      </c>
      <c r="H199" s="27">
        <v>2</v>
      </c>
      <c r="I199" s="27" t="s">
        <v>620</v>
      </c>
      <c r="J199" s="27">
        <v>10</v>
      </c>
      <c r="K199" s="27">
        <v>1</v>
      </c>
      <c r="L199" s="27">
        <v>24</v>
      </c>
      <c r="M199" s="29">
        <v>164</v>
      </c>
      <c r="N199" s="30">
        <v>176</v>
      </c>
      <c r="O199" s="30">
        <v>548</v>
      </c>
      <c r="P199" s="30">
        <v>74</v>
      </c>
      <c r="Q199" s="30">
        <v>253</v>
      </c>
      <c r="R199" s="30">
        <v>875</v>
      </c>
      <c r="S199" s="31">
        <f>R199/N199</f>
        <v>4.9715909090909092</v>
      </c>
      <c r="T199" s="32">
        <f>O199/R199</f>
        <v>0.62628571428571433</v>
      </c>
      <c r="U199" s="32">
        <f>P199/R199</f>
        <v>8.4571428571428575E-2</v>
      </c>
      <c r="V199" s="32">
        <f>Q199/R199</f>
        <v>0.28914285714285715</v>
      </c>
      <c r="W199" s="31">
        <f>P199/O199</f>
        <v>0.13503649635036497</v>
      </c>
      <c r="X199" s="31">
        <f>Q199/(O199+P199)</f>
        <v>0.40675241157556269</v>
      </c>
      <c r="Y199" s="65">
        <f>R199/R$488</f>
        <v>2.5418386644162922E-3</v>
      </c>
      <c r="Z199" s="30">
        <v>941</v>
      </c>
      <c r="AA199" s="30">
        <v>1099</v>
      </c>
      <c r="AB199" s="29">
        <v>1180</v>
      </c>
      <c r="AC199" s="34">
        <f>Z199/R199</f>
        <v>1.0754285714285714</v>
      </c>
      <c r="AD199" s="34">
        <f>AA199/Z199</f>
        <v>1.1679064824654624</v>
      </c>
      <c r="AE199" s="34">
        <f>AB199/AA199</f>
        <v>1.0737033666969973</v>
      </c>
      <c r="AF199" s="35">
        <f>AB199/R199</f>
        <v>1.3485714285714285</v>
      </c>
      <c r="AG199" s="29">
        <f>0.6*Z199+0.4*AA199</f>
        <v>1004.2</v>
      </c>
      <c r="AH199" s="54">
        <v>3844</v>
      </c>
      <c r="AI199" s="59">
        <f>AH199/AG199</f>
        <v>3.8279227245568612</v>
      </c>
      <c r="AJ199" s="61">
        <f>AI199/AI$488</f>
        <v>0.8134501397612931</v>
      </c>
    </row>
    <row r="200" spans="1:36" ht="15" customHeight="1" x14ac:dyDescent="0.2">
      <c r="A200" s="27" t="s">
        <v>10</v>
      </c>
      <c r="B200" s="27"/>
      <c r="C200" s="27" t="s">
        <v>123</v>
      </c>
      <c r="D200" s="28">
        <v>23</v>
      </c>
      <c r="E200" s="27"/>
      <c r="F200" s="27"/>
      <c r="G200" s="27" t="s">
        <v>30</v>
      </c>
      <c r="H200" s="27">
        <v>8</v>
      </c>
      <c r="I200" s="27" t="s">
        <v>619</v>
      </c>
      <c r="J200" s="27">
        <v>9</v>
      </c>
      <c r="K200" s="27">
        <v>2</v>
      </c>
      <c r="L200" s="27">
        <v>36</v>
      </c>
      <c r="M200" s="29">
        <v>68</v>
      </c>
      <c r="N200" s="30">
        <v>34</v>
      </c>
      <c r="O200" s="30">
        <v>355</v>
      </c>
      <c r="P200" s="30">
        <v>13</v>
      </c>
      <c r="Q200" s="30">
        <v>111</v>
      </c>
      <c r="R200" s="30">
        <v>479</v>
      </c>
      <c r="S200" s="31">
        <f>R200/N200</f>
        <v>14.088235294117647</v>
      </c>
      <c r="T200" s="32">
        <f>O200/R200</f>
        <v>0.74112734864300622</v>
      </c>
      <c r="U200" s="32">
        <f>P200/R200</f>
        <v>2.7139874739039668E-2</v>
      </c>
      <c r="V200" s="32">
        <f>Q200/R200</f>
        <v>0.23173277661795408</v>
      </c>
      <c r="W200" s="31">
        <f>P200/O200</f>
        <v>3.6619718309859155E-2</v>
      </c>
      <c r="X200" s="31">
        <f>Q200/(O200+P200)</f>
        <v>0.3016304347826087</v>
      </c>
      <c r="Y200" s="65">
        <f>R200/R$488</f>
        <v>1.3914751088633188E-3</v>
      </c>
      <c r="Z200" s="30">
        <v>504</v>
      </c>
      <c r="AA200" s="30">
        <v>632</v>
      </c>
      <c r="AB200" s="29">
        <v>696</v>
      </c>
      <c r="AC200" s="34">
        <f>Z200/R200</f>
        <v>1.0521920668058455</v>
      </c>
      <c r="AD200" s="34">
        <f>AA200/Z200</f>
        <v>1.253968253968254</v>
      </c>
      <c r="AE200" s="34">
        <f>AB200/AA200</f>
        <v>1.1012658227848102</v>
      </c>
      <c r="AF200" s="35">
        <f>AB200/R200</f>
        <v>1.453027139874739</v>
      </c>
      <c r="AG200" s="29">
        <f>0.6*Z200+0.4*AA200</f>
        <v>555.20000000000005</v>
      </c>
      <c r="AH200" s="54">
        <v>2727</v>
      </c>
      <c r="AI200" s="59">
        <f>AH200/AG200</f>
        <v>4.9117435158501435</v>
      </c>
      <c r="AJ200" s="61">
        <f>AI200/AI$488</f>
        <v>1.0437667468594098</v>
      </c>
    </row>
    <row r="201" spans="1:36" ht="15" customHeight="1" x14ac:dyDescent="0.2">
      <c r="A201" s="27" t="s">
        <v>409</v>
      </c>
      <c r="B201" s="27"/>
      <c r="C201" s="27" t="s">
        <v>332</v>
      </c>
      <c r="D201" s="27">
        <v>25</v>
      </c>
      <c r="E201" s="27"/>
      <c r="F201" s="27"/>
      <c r="G201" s="27" t="s">
        <v>332</v>
      </c>
      <c r="H201" s="27">
        <v>18</v>
      </c>
      <c r="I201" s="27" t="s">
        <v>620</v>
      </c>
      <c r="J201" s="27">
        <v>10</v>
      </c>
      <c r="K201" s="27">
        <v>1</v>
      </c>
      <c r="L201" s="27">
        <v>26</v>
      </c>
      <c r="M201" s="29">
        <v>51</v>
      </c>
      <c r="N201" s="30">
        <v>54</v>
      </c>
      <c r="O201" s="30">
        <v>60</v>
      </c>
      <c r="P201" s="30">
        <v>10</v>
      </c>
      <c r="Q201" s="30">
        <v>167</v>
      </c>
      <c r="R201" s="30">
        <v>237</v>
      </c>
      <c r="S201" s="31">
        <f>R201/N201</f>
        <v>4.3888888888888893</v>
      </c>
      <c r="T201" s="32">
        <f>O201/R201</f>
        <v>0.25316455696202533</v>
      </c>
      <c r="U201" s="32">
        <f>P201/R201</f>
        <v>4.2194092827004218E-2</v>
      </c>
      <c r="V201" s="32">
        <f>Q201/R201</f>
        <v>0.70464135021097052</v>
      </c>
      <c r="W201" s="31">
        <f>P201/O201</f>
        <v>0.16666666666666666</v>
      </c>
      <c r="X201" s="31">
        <f>Q201/(O201+P201)</f>
        <v>2.3857142857142857</v>
      </c>
      <c r="Y201" s="65">
        <f>R201/R$488</f>
        <v>6.8847515824761285E-4</v>
      </c>
      <c r="Z201" s="30">
        <v>230</v>
      </c>
      <c r="AA201" s="30">
        <v>259</v>
      </c>
      <c r="AB201" s="29">
        <v>268</v>
      </c>
      <c r="AC201" s="34">
        <f>Z201/R201</f>
        <v>0.97046413502109707</v>
      </c>
      <c r="AD201" s="34">
        <f>AA201/Z201</f>
        <v>1.1260869565217391</v>
      </c>
      <c r="AE201" s="34">
        <f>AB201/AA201</f>
        <v>1.0347490347490347</v>
      </c>
      <c r="AF201" s="35">
        <f>AB201/R201</f>
        <v>1.130801687763713</v>
      </c>
      <c r="AG201" s="29">
        <f>0.6*Z201+0.4*AA201</f>
        <v>241.60000000000002</v>
      </c>
      <c r="AH201" s="54">
        <v>1880</v>
      </c>
      <c r="AI201" s="59">
        <f>AH201/AG201</f>
        <v>7.7814569536423832</v>
      </c>
      <c r="AJ201" s="61">
        <f>AI201/AI$488</f>
        <v>1.6535932676696481</v>
      </c>
    </row>
    <row r="202" spans="1:36" ht="15" customHeight="1" x14ac:dyDescent="0.2">
      <c r="A202" s="27" t="s">
        <v>358</v>
      </c>
      <c r="B202" s="27"/>
      <c r="C202" s="27" t="s">
        <v>325</v>
      </c>
      <c r="D202" s="27">
        <v>4</v>
      </c>
      <c r="E202" s="27"/>
      <c r="F202" s="27"/>
      <c r="G202" s="27" t="s">
        <v>331</v>
      </c>
      <c r="H202" s="27">
        <v>17</v>
      </c>
      <c r="I202" s="27" t="s">
        <v>620</v>
      </c>
      <c r="J202" s="27">
        <v>10</v>
      </c>
      <c r="K202" s="27">
        <v>1</v>
      </c>
      <c r="L202" s="27">
        <v>28</v>
      </c>
      <c r="M202" s="29">
        <v>141</v>
      </c>
      <c r="N202" s="30">
        <v>149</v>
      </c>
      <c r="O202" s="30">
        <v>69</v>
      </c>
      <c r="P202" s="30">
        <v>79</v>
      </c>
      <c r="Q202" s="30">
        <v>479</v>
      </c>
      <c r="R202" s="30">
        <v>627</v>
      </c>
      <c r="S202" s="31">
        <f>R202/N202</f>
        <v>4.2080536912751674</v>
      </c>
      <c r="T202" s="32">
        <f>O202/R202</f>
        <v>0.11004784688995216</v>
      </c>
      <c r="U202" s="32">
        <f>P202/R202</f>
        <v>0.12599681020733652</v>
      </c>
      <c r="V202" s="32">
        <f>Q202/R202</f>
        <v>0.76395534290271128</v>
      </c>
      <c r="W202" s="31">
        <f>P202/O202</f>
        <v>1.144927536231884</v>
      </c>
      <c r="X202" s="31">
        <f>Q202/(O202+P202)</f>
        <v>3.2364864864864864</v>
      </c>
      <c r="Y202" s="65">
        <f>R202/R$488</f>
        <v>1.8214089629588746E-3</v>
      </c>
      <c r="Z202" s="30">
        <v>675</v>
      </c>
      <c r="AA202" s="30">
        <v>811</v>
      </c>
      <c r="AB202" s="29">
        <v>925</v>
      </c>
      <c r="AC202" s="34">
        <f>Z202/R202</f>
        <v>1.0765550239234449</v>
      </c>
      <c r="AD202" s="34">
        <f>AA202/Z202</f>
        <v>1.2014814814814814</v>
      </c>
      <c r="AE202" s="34">
        <f>AB202/AA202</f>
        <v>1.1405672009864365</v>
      </c>
      <c r="AF202" s="35">
        <f>AB202/R202</f>
        <v>1.4752791068580542</v>
      </c>
      <c r="AG202" s="29">
        <f>0.6*Z202+0.4*AA202</f>
        <v>729.40000000000009</v>
      </c>
      <c r="AH202" s="54">
        <v>4220</v>
      </c>
      <c r="AI202" s="59">
        <f>AH202/AG202</f>
        <v>5.7855771867288173</v>
      </c>
      <c r="AJ202" s="61">
        <f>AI202/AI$488</f>
        <v>1.2294601823993525</v>
      </c>
    </row>
    <row r="203" spans="1:36" ht="15" customHeight="1" x14ac:dyDescent="0.2">
      <c r="A203" s="28" t="s">
        <v>226</v>
      </c>
      <c r="B203" s="28"/>
      <c r="C203" s="28" t="s">
        <v>121</v>
      </c>
      <c r="D203" s="28">
        <v>18</v>
      </c>
      <c r="E203" s="27"/>
      <c r="F203" s="27"/>
      <c r="G203" s="27" t="s">
        <v>4</v>
      </c>
      <c r="H203" s="27">
        <v>14</v>
      </c>
      <c r="I203" s="27" t="s">
        <v>622</v>
      </c>
      <c r="J203" s="27">
        <v>8</v>
      </c>
      <c r="K203" s="27">
        <v>3</v>
      </c>
      <c r="L203" s="27">
        <v>19</v>
      </c>
      <c r="M203" s="29">
        <v>42</v>
      </c>
      <c r="N203" s="30">
        <v>42</v>
      </c>
      <c r="O203" s="30">
        <v>61</v>
      </c>
      <c r="P203" s="30">
        <v>2</v>
      </c>
      <c r="Q203" s="30">
        <v>70</v>
      </c>
      <c r="R203" s="30">
        <v>133</v>
      </c>
      <c r="S203" s="31">
        <f>R203/N203</f>
        <v>3.1666666666666665</v>
      </c>
      <c r="T203" s="32">
        <f>O203/R203</f>
        <v>0.45864661654135336</v>
      </c>
      <c r="U203" s="32">
        <f>P203/R203</f>
        <v>1.5037593984962405E-2</v>
      </c>
      <c r="V203" s="32">
        <f>Q203/R203</f>
        <v>0.52631578947368418</v>
      </c>
      <c r="W203" s="31">
        <f>P203/O203</f>
        <v>3.2786885245901641E-2</v>
      </c>
      <c r="X203" s="31">
        <f>Q203/(O203+P203)</f>
        <v>1.1111111111111112</v>
      </c>
      <c r="Y203" s="65">
        <f>R203/R$488</f>
        <v>3.8635947699127641E-4</v>
      </c>
      <c r="Z203" s="30">
        <v>268</v>
      </c>
      <c r="AA203" s="30">
        <v>324</v>
      </c>
      <c r="AB203" s="29">
        <v>370</v>
      </c>
      <c r="AC203" s="34">
        <f>Z203/R203</f>
        <v>2.0150375939849625</v>
      </c>
      <c r="AD203" s="34">
        <f>AA203/Z203</f>
        <v>1.208955223880597</v>
      </c>
      <c r="AE203" s="34">
        <f>AB203/AA203</f>
        <v>1.1419753086419753</v>
      </c>
      <c r="AF203" s="35">
        <f>AB203/R203</f>
        <v>2.7819548872180451</v>
      </c>
      <c r="AG203" s="29">
        <f>0.6*Z203+0.4*AA203</f>
        <v>290.39999999999998</v>
      </c>
      <c r="AH203" s="54">
        <v>901</v>
      </c>
      <c r="AI203" s="59">
        <f>AH203/AG203</f>
        <v>3.1026170798898076</v>
      </c>
      <c r="AJ203" s="61">
        <f>AI203/AI$488</f>
        <v>0.65931955237009365</v>
      </c>
    </row>
    <row r="204" spans="1:36" ht="15" customHeight="1" x14ac:dyDescent="0.2">
      <c r="A204" s="27" t="s">
        <v>6</v>
      </c>
      <c r="B204" s="27"/>
      <c r="C204" s="28" t="s">
        <v>116</v>
      </c>
      <c r="D204" s="27">
        <v>32</v>
      </c>
      <c r="E204" s="27"/>
      <c r="F204" s="27"/>
      <c r="G204" s="27" t="s">
        <v>50</v>
      </c>
      <c r="H204" s="27">
        <v>7</v>
      </c>
      <c r="I204" s="27" t="s">
        <v>622</v>
      </c>
      <c r="J204" s="27">
        <v>8</v>
      </c>
      <c r="K204" s="27">
        <v>5</v>
      </c>
      <c r="L204" s="27">
        <v>4</v>
      </c>
      <c r="M204" s="29">
        <v>17</v>
      </c>
      <c r="N204" s="30">
        <v>17</v>
      </c>
      <c r="O204" s="30">
        <v>122</v>
      </c>
      <c r="P204" s="30">
        <v>0</v>
      </c>
      <c r="Q204" s="30">
        <v>3</v>
      </c>
      <c r="R204" s="30">
        <v>125</v>
      </c>
      <c r="S204" s="31">
        <f>R204/N204</f>
        <v>7.3529411764705879</v>
      </c>
      <c r="T204" s="32">
        <f>O204/R204</f>
        <v>0.97599999999999998</v>
      </c>
      <c r="U204" s="32">
        <f>P204/R204</f>
        <v>0</v>
      </c>
      <c r="V204" s="32">
        <f>Q204/R204</f>
        <v>2.4E-2</v>
      </c>
      <c r="W204" s="31">
        <f>P204/O204</f>
        <v>0</v>
      </c>
      <c r="X204" s="31">
        <f>Q204/(O204+P204)</f>
        <v>2.4590163934426229E-2</v>
      </c>
      <c r="Y204" s="65">
        <f>R204/R$488</f>
        <v>3.6311980920232745E-4</v>
      </c>
      <c r="Z204" s="30">
        <v>98</v>
      </c>
      <c r="AA204" s="30">
        <v>121</v>
      </c>
      <c r="AB204" s="29">
        <v>155</v>
      </c>
      <c r="AC204" s="34">
        <f>Z204/R204</f>
        <v>0.78400000000000003</v>
      </c>
      <c r="AD204" s="34">
        <f>AA204/Z204</f>
        <v>1.2346938775510203</v>
      </c>
      <c r="AE204" s="34">
        <f>AB204/AA204</f>
        <v>1.28099173553719</v>
      </c>
      <c r="AF204" s="35">
        <f>AB204/R204</f>
        <v>1.24</v>
      </c>
      <c r="AG204" s="29">
        <f>0.6*Z204+0.4*AA204</f>
        <v>107.2</v>
      </c>
      <c r="AH204" s="54">
        <v>557</v>
      </c>
      <c r="AI204" s="59">
        <f>AH204/AG204</f>
        <v>5.1958955223880592</v>
      </c>
      <c r="AJ204" s="61">
        <f>AI204/AI$488</f>
        <v>1.1041502775793195</v>
      </c>
    </row>
    <row r="205" spans="1:36" ht="15" customHeight="1" x14ac:dyDescent="0.2">
      <c r="A205" s="27" t="s">
        <v>179</v>
      </c>
      <c r="B205" s="27">
        <v>2</v>
      </c>
      <c r="C205" s="28" t="s">
        <v>120</v>
      </c>
      <c r="D205" s="28">
        <v>9</v>
      </c>
      <c r="E205" s="27"/>
      <c r="F205" s="27"/>
      <c r="G205" s="27" t="s">
        <v>336</v>
      </c>
      <c r="H205" s="27">
        <v>10</v>
      </c>
      <c r="I205" s="27" t="s">
        <v>618</v>
      </c>
      <c r="J205" s="27">
        <v>6</v>
      </c>
      <c r="K205" s="27">
        <v>7</v>
      </c>
      <c r="L205" s="27">
        <v>14</v>
      </c>
      <c r="M205" s="29">
        <v>64</v>
      </c>
      <c r="N205" s="30">
        <v>64</v>
      </c>
      <c r="O205" s="30">
        <v>75</v>
      </c>
      <c r="P205" s="30">
        <v>39</v>
      </c>
      <c r="Q205" s="30">
        <v>345</v>
      </c>
      <c r="R205" s="30">
        <v>459</v>
      </c>
      <c r="S205" s="31">
        <f>R205/N205</f>
        <v>7.171875</v>
      </c>
      <c r="T205" s="32">
        <f>O205/R205</f>
        <v>0.16339869281045752</v>
      </c>
      <c r="U205" s="32">
        <f>P205/R205</f>
        <v>8.4967320261437912E-2</v>
      </c>
      <c r="V205" s="32">
        <f>Q205/R205</f>
        <v>0.75163398692810457</v>
      </c>
      <c r="W205" s="31">
        <f>P205/O205</f>
        <v>0.52</v>
      </c>
      <c r="X205" s="31">
        <f>Q205/(O205+P205)</f>
        <v>3.0263157894736841</v>
      </c>
      <c r="Y205" s="65">
        <f>R205/R$488</f>
        <v>1.3333759393909465E-3</v>
      </c>
      <c r="Z205" s="30">
        <v>403</v>
      </c>
      <c r="AA205" s="30">
        <v>351</v>
      </c>
      <c r="AB205" s="29">
        <v>370</v>
      </c>
      <c r="AC205" s="34">
        <f>Z205/R205</f>
        <v>0.87799564270152508</v>
      </c>
      <c r="AD205" s="34">
        <f>AA205/Z205</f>
        <v>0.87096774193548387</v>
      </c>
      <c r="AE205" s="34">
        <f>AB205/AA205</f>
        <v>1.0541310541310542</v>
      </c>
      <c r="AF205" s="35">
        <f>AB205/R205</f>
        <v>0.8061002178649237</v>
      </c>
      <c r="AG205" s="29">
        <f>0.6*Z205+0.4*AA205</f>
        <v>382.2</v>
      </c>
      <c r="AH205" s="54">
        <v>2939</v>
      </c>
      <c r="AI205" s="59">
        <f>AH205/AG205</f>
        <v>7.6896912611198331</v>
      </c>
      <c r="AJ205" s="61">
        <f>AI205/AI$488</f>
        <v>1.634092661001471</v>
      </c>
    </row>
    <row r="206" spans="1:36" ht="15" customHeight="1" x14ac:dyDescent="0.2">
      <c r="A206" s="27" t="s">
        <v>359</v>
      </c>
      <c r="B206" s="27"/>
      <c r="C206" s="27" t="s">
        <v>325</v>
      </c>
      <c r="D206" s="27">
        <v>4</v>
      </c>
      <c r="E206" s="27"/>
      <c r="F206" s="27"/>
      <c r="G206" s="27" t="s">
        <v>331</v>
      </c>
      <c r="H206" s="27">
        <v>17</v>
      </c>
      <c r="I206" s="27" t="s">
        <v>620</v>
      </c>
      <c r="J206" s="27">
        <v>10</v>
      </c>
      <c r="K206" s="27">
        <v>1</v>
      </c>
      <c r="L206" s="27">
        <v>27</v>
      </c>
      <c r="M206" s="29">
        <v>53</v>
      </c>
      <c r="N206" s="30">
        <v>55</v>
      </c>
      <c r="O206" s="30">
        <v>45</v>
      </c>
      <c r="P206" s="30">
        <v>23</v>
      </c>
      <c r="Q206" s="30">
        <v>180</v>
      </c>
      <c r="R206" s="30">
        <v>248</v>
      </c>
      <c r="S206" s="31">
        <f>R206/N206</f>
        <v>4.5090909090909088</v>
      </c>
      <c r="T206" s="32">
        <f>O206/R206</f>
        <v>0.18145161290322581</v>
      </c>
      <c r="U206" s="32">
        <f>P206/R206</f>
        <v>9.2741935483870969E-2</v>
      </c>
      <c r="V206" s="32">
        <f>Q206/R206</f>
        <v>0.72580645161290325</v>
      </c>
      <c r="W206" s="31">
        <f>P206/O206</f>
        <v>0.51111111111111107</v>
      </c>
      <c r="X206" s="31">
        <f>Q206/(O206+P206)</f>
        <v>2.6470588235294117</v>
      </c>
      <c r="Y206" s="65">
        <f>R206/R$488</f>
        <v>7.2042970145741762E-4</v>
      </c>
      <c r="Z206" s="30">
        <v>269</v>
      </c>
      <c r="AA206" s="30">
        <v>351</v>
      </c>
      <c r="AB206" s="29">
        <v>442</v>
      </c>
      <c r="AC206" s="34">
        <f>Z206/R206</f>
        <v>1.0846774193548387</v>
      </c>
      <c r="AD206" s="34">
        <f>AA206/Z206</f>
        <v>1.3048327137546469</v>
      </c>
      <c r="AE206" s="34">
        <f>AB206/AA206</f>
        <v>1.2592592592592593</v>
      </c>
      <c r="AF206" s="35">
        <f>AB206/R206</f>
        <v>1.782258064516129</v>
      </c>
      <c r="AG206" s="29">
        <f>0.6*Z206+0.4*AA206</f>
        <v>301.8</v>
      </c>
      <c r="AH206" s="54">
        <v>1316</v>
      </c>
      <c r="AI206" s="59">
        <f>AH206/AG206</f>
        <v>4.3605036447978796</v>
      </c>
      <c r="AJ206" s="61">
        <f>AI206/AI$488</f>
        <v>0.92662588942442325</v>
      </c>
    </row>
    <row r="207" spans="1:36" ht="15" customHeight="1" x14ac:dyDescent="0.2">
      <c r="A207" s="27" t="s">
        <v>377</v>
      </c>
      <c r="B207" s="27"/>
      <c r="C207" s="27" t="s">
        <v>327</v>
      </c>
      <c r="D207" s="27">
        <v>12</v>
      </c>
      <c r="E207" s="27" t="s">
        <v>420</v>
      </c>
      <c r="F207" s="27"/>
      <c r="G207" s="27" t="s">
        <v>427</v>
      </c>
      <c r="H207" s="27">
        <v>23</v>
      </c>
      <c r="I207" s="27" t="s">
        <v>619</v>
      </c>
      <c r="J207" s="27">
        <v>9</v>
      </c>
      <c r="K207" s="27">
        <v>2</v>
      </c>
      <c r="L207" s="27">
        <v>81</v>
      </c>
      <c r="M207" s="38">
        <v>348</v>
      </c>
      <c r="N207" s="30">
        <v>408</v>
      </c>
      <c r="O207" s="30">
        <v>121</v>
      </c>
      <c r="P207" s="30">
        <v>259</v>
      </c>
      <c r="Q207" s="30">
        <v>1664</v>
      </c>
      <c r="R207" s="30">
        <v>2044</v>
      </c>
      <c r="S207" s="31">
        <f>R207/N207</f>
        <v>5.0098039215686274</v>
      </c>
      <c r="T207" s="32">
        <f>O207/R207</f>
        <v>5.9197651663405085E-2</v>
      </c>
      <c r="U207" s="32">
        <f>P207/R207</f>
        <v>0.12671232876712329</v>
      </c>
      <c r="V207" s="32">
        <f>Q207/R207</f>
        <v>0.81409001956947158</v>
      </c>
      <c r="W207" s="31">
        <f>P207/O207</f>
        <v>2.1404958677685952</v>
      </c>
      <c r="X207" s="31">
        <f>Q207/(O207+P207)</f>
        <v>4.3789473684210529</v>
      </c>
      <c r="Y207" s="65">
        <f>R207/R$488</f>
        <v>5.9377351200764587E-3</v>
      </c>
      <c r="Z207" s="30">
        <v>2151</v>
      </c>
      <c r="AA207" s="30">
        <v>2538</v>
      </c>
      <c r="AB207" s="29">
        <v>3093</v>
      </c>
      <c r="AC207" s="34">
        <f>Z207/R207</f>
        <v>1.052348336594912</v>
      </c>
      <c r="AD207" s="34">
        <f>AA207/Z207</f>
        <v>1.1799163179916319</v>
      </c>
      <c r="AE207" s="34">
        <f>AB207/AA207</f>
        <v>1.218676122931442</v>
      </c>
      <c r="AF207" s="35">
        <f>AB207/R207</f>
        <v>1.5132093933463797</v>
      </c>
      <c r="AG207" s="29">
        <f>0.6*Z207+0.4*AA207</f>
        <v>2305.8000000000002</v>
      </c>
      <c r="AH207" s="54">
        <v>5028</v>
      </c>
      <c r="AI207" s="59">
        <f>AH207/AG207</f>
        <v>2.1805880822274264</v>
      </c>
      <c r="AJ207" s="61">
        <f>AI207/AI$488</f>
        <v>0.46338440138053039</v>
      </c>
    </row>
    <row r="208" spans="1:36" ht="15" customHeight="1" x14ac:dyDescent="0.2">
      <c r="A208" s="27" t="s">
        <v>582</v>
      </c>
      <c r="B208" s="27"/>
      <c r="C208" s="27" t="s">
        <v>328</v>
      </c>
      <c r="D208" s="27">
        <v>13</v>
      </c>
      <c r="E208" s="27"/>
      <c r="F208" s="27" t="s">
        <v>481</v>
      </c>
      <c r="G208" s="27" t="s">
        <v>333</v>
      </c>
      <c r="H208" s="27">
        <v>22</v>
      </c>
      <c r="I208" s="27" t="s">
        <v>621</v>
      </c>
      <c r="J208" s="27">
        <v>7</v>
      </c>
      <c r="K208" s="27">
        <v>2</v>
      </c>
      <c r="L208" s="27">
        <v>46</v>
      </c>
      <c r="M208" s="29">
        <v>265</v>
      </c>
      <c r="N208" s="30">
        <v>303</v>
      </c>
      <c r="O208" s="30">
        <v>592</v>
      </c>
      <c r="P208" s="30">
        <v>373</v>
      </c>
      <c r="Q208" s="30">
        <v>471</v>
      </c>
      <c r="R208" s="30">
        <v>1436</v>
      </c>
      <c r="S208" s="31">
        <f>R208/N208</f>
        <v>4.7392739273927393</v>
      </c>
      <c r="T208" s="32">
        <f>O208/R208</f>
        <v>0.41225626740947074</v>
      </c>
      <c r="U208" s="32">
        <f>P208/R208</f>
        <v>0.25974930362116994</v>
      </c>
      <c r="V208" s="32">
        <f>Q208/R208</f>
        <v>0.32799442896935932</v>
      </c>
      <c r="W208" s="31">
        <f>P208/O208</f>
        <v>0.63006756756756754</v>
      </c>
      <c r="X208" s="31">
        <f>Q208/(O208+P208)</f>
        <v>0.48808290155440415</v>
      </c>
      <c r="Y208" s="65">
        <f>R208/R$488</f>
        <v>4.1715203681163375E-3</v>
      </c>
      <c r="Z208" s="30">
        <v>1355</v>
      </c>
      <c r="AA208" s="30">
        <v>1598</v>
      </c>
      <c r="AB208" s="29">
        <v>1636</v>
      </c>
      <c r="AC208" s="34">
        <f>Z208/R208</f>
        <v>0.94359331476323116</v>
      </c>
      <c r="AD208" s="34">
        <f>AA208/Z208</f>
        <v>1.1793357933579336</v>
      </c>
      <c r="AE208" s="34">
        <f>AB208/AA208</f>
        <v>1.0237797246558198</v>
      </c>
      <c r="AF208" s="35">
        <f>AB208/R208</f>
        <v>1.139275766016713</v>
      </c>
      <c r="AG208" s="29">
        <f>0.6*Z208+0.4*AA208</f>
        <v>1452.2</v>
      </c>
      <c r="AH208" s="54">
        <v>10223</v>
      </c>
      <c r="AI208" s="59">
        <f>AH208/AG208</f>
        <v>7.039663958132488</v>
      </c>
      <c r="AJ208" s="61">
        <f>AI208/AI$488</f>
        <v>1.4959590468948998</v>
      </c>
    </row>
    <row r="209" spans="1:36" ht="15" customHeight="1" x14ac:dyDescent="0.2">
      <c r="A209" s="27" t="s">
        <v>154</v>
      </c>
      <c r="B209" s="27"/>
      <c r="C209" s="28" t="s">
        <v>112</v>
      </c>
      <c r="D209" s="28">
        <v>6</v>
      </c>
      <c r="E209" s="27"/>
      <c r="F209" s="27"/>
      <c r="G209" s="27" t="s">
        <v>26</v>
      </c>
      <c r="H209" s="27">
        <v>24</v>
      </c>
      <c r="I209" s="27" t="s">
        <v>624</v>
      </c>
      <c r="J209" s="27">
        <v>4</v>
      </c>
      <c r="K209" s="27">
        <v>4</v>
      </c>
      <c r="L209" s="27">
        <v>44</v>
      </c>
      <c r="M209" s="37">
        <v>47</v>
      </c>
      <c r="N209" s="40">
        <v>47</v>
      </c>
      <c r="O209" s="40">
        <v>181</v>
      </c>
      <c r="P209" s="40">
        <v>5</v>
      </c>
      <c r="Q209" s="40">
        <v>172</v>
      </c>
      <c r="R209" s="30">
        <v>358</v>
      </c>
      <c r="S209" s="31">
        <f>R209/N209</f>
        <v>7.6170212765957448</v>
      </c>
      <c r="T209" s="32">
        <f>O209/R209</f>
        <v>0.505586592178771</v>
      </c>
      <c r="U209" s="32">
        <f>P209/R209</f>
        <v>1.3966480446927373E-2</v>
      </c>
      <c r="V209" s="32">
        <f>Q209/R209</f>
        <v>0.48044692737430167</v>
      </c>
      <c r="W209" s="31">
        <f>P209/O209</f>
        <v>2.7624309392265192E-2</v>
      </c>
      <c r="X209" s="31">
        <f>Q209/(O209+P209)</f>
        <v>0.92473118279569888</v>
      </c>
      <c r="Y209" s="65">
        <f>R209/R$488</f>
        <v>1.0399751335554658E-3</v>
      </c>
      <c r="Z209" s="30">
        <v>414</v>
      </c>
      <c r="AA209" s="30">
        <v>468</v>
      </c>
      <c r="AB209" s="29">
        <v>474</v>
      </c>
      <c r="AC209" s="34">
        <f>Z209/R209</f>
        <v>1.1564245810055866</v>
      </c>
      <c r="AD209" s="34">
        <f>AA209/Z209</f>
        <v>1.1304347826086956</v>
      </c>
      <c r="AE209" s="34">
        <f>AB209/AA209</f>
        <v>1.0128205128205128</v>
      </c>
      <c r="AF209" s="35">
        <f>AB209/R209</f>
        <v>1.3240223463687151</v>
      </c>
      <c r="AG209" s="29">
        <f>0.6*Z209+0.4*AA209</f>
        <v>435.6</v>
      </c>
      <c r="AH209" s="54">
        <v>3287</v>
      </c>
      <c r="AI209" s="59">
        <f>AH209/AG209</f>
        <v>7.5459136822773178</v>
      </c>
      <c r="AJ209" s="61">
        <f>AI209/AI$488</f>
        <v>1.6035393034705863</v>
      </c>
    </row>
    <row r="210" spans="1:36" ht="15" customHeight="1" x14ac:dyDescent="0.2">
      <c r="A210" s="28" t="s">
        <v>134</v>
      </c>
      <c r="B210" s="28"/>
      <c r="C210" s="28" t="s">
        <v>117</v>
      </c>
      <c r="D210" s="28">
        <v>3</v>
      </c>
      <c r="E210" s="27"/>
      <c r="F210" s="27"/>
      <c r="G210" s="27" t="s">
        <v>138</v>
      </c>
      <c r="H210" s="27">
        <v>9</v>
      </c>
      <c r="I210" s="27" t="s">
        <v>619</v>
      </c>
      <c r="J210" s="27">
        <v>9</v>
      </c>
      <c r="K210" s="27">
        <v>3</v>
      </c>
      <c r="L210" s="27">
        <v>20</v>
      </c>
      <c r="M210" s="37">
        <v>21</v>
      </c>
      <c r="N210" s="40">
        <v>26</v>
      </c>
      <c r="O210" s="40">
        <v>87</v>
      </c>
      <c r="P210" s="40">
        <v>6</v>
      </c>
      <c r="Q210" s="40">
        <v>63</v>
      </c>
      <c r="R210" s="30">
        <v>156</v>
      </c>
      <c r="S210" s="31">
        <f>R210/N210</f>
        <v>6</v>
      </c>
      <c r="T210" s="32">
        <f>O210/R210</f>
        <v>0.55769230769230771</v>
      </c>
      <c r="U210" s="32">
        <f>P210/R210</f>
        <v>3.8461538461538464E-2</v>
      </c>
      <c r="V210" s="32">
        <f>Q210/R210</f>
        <v>0.40384615384615385</v>
      </c>
      <c r="W210" s="31">
        <f>P210/O210</f>
        <v>6.8965517241379309E-2</v>
      </c>
      <c r="X210" s="31">
        <f>Q210/(O210+P210)</f>
        <v>0.67741935483870963</v>
      </c>
      <c r="Y210" s="65">
        <f>R210/R$488</f>
        <v>4.5317352188450465E-4</v>
      </c>
      <c r="Z210" s="30">
        <v>210</v>
      </c>
      <c r="AA210" s="30">
        <v>216</v>
      </c>
      <c r="AB210" s="29">
        <v>230</v>
      </c>
      <c r="AC210" s="34">
        <f>Z210/R210</f>
        <v>1.3461538461538463</v>
      </c>
      <c r="AD210" s="34">
        <f>AA210/Z210</f>
        <v>1.0285714285714285</v>
      </c>
      <c r="AE210" s="34">
        <f>AB210/AA210</f>
        <v>1.0648148148148149</v>
      </c>
      <c r="AF210" s="35">
        <f>AB210/R210</f>
        <v>1.4743589743589745</v>
      </c>
      <c r="AG210" s="29">
        <f>0.6*Z210+0.4*AA210</f>
        <v>212.4</v>
      </c>
      <c r="AH210" s="54">
        <v>825</v>
      </c>
      <c r="AI210" s="59">
        <f>AH210/AG210</f>
        <v>3.884180790960452</v>
      </c>
      <c r="AJ210" s="61">
        <f>AI210/AI$488</f>
        <v>0.82540522226207647</v>
      </c>
    </row>
    <row r="211" spans="1:36" ht="15" customHeight="1" x14ac:dyDescent="0.2">
      <c r="A211" s="28" t="s">
        <v>53</v>
      </c>
      <c r="B211" s="28"/>
      <c r="C211" s="28" t="s">
        <v>112</v>
      </c>
      <c r="D211" s="28">
        <v>6</v>
      </c>
      <c r="E211" s="27"/>
      <c r="F211" s="27" t="s">
        <v>481</v>
      </c>
      <c r="G211" s="27" t="s">
        <v>26</v>
      </c>
      <c r="H211" s="27">
        <v>24</v>
      </c>
      <c r="I211" s="27" t="s">
        <v>624</v>
      </c>
      <c r="J211" s="27">
        <v>4</v>
      </c>
      <c r="K211" s="27">
        <v>4</v>
      </c>
      <c r="L211" s="27">
        <v>45</v>
      </c>
      <c r="M211" s="29">
        <v>229</v>
      </c>
      <c r="N211" s="30">
        <v>260</v>
      </c>
      <c r="O211" s="30">
        <v>398</v>
      </c>
      <c r="P211" s="30">
        <v>259</v>
      </c>
      <c r="Q211" s="30">
        <v>481</v>
      </c>
      <c r="R211" s="30">
        <v>1138</v>
      </c>
      <c r="S211" s="31">
        <f>R211/N211</f>
        <v>4.3769230769230774</v>
      </c>
      <c r="T211" s="32">
        <f>O211/R211</f>
        <v>0.34973637961335674</v>
      </c>
      <c r="U211" s="32">
        <f>P211/R211</f>
        <v>0.22759226713532513</v>
      </c>
      <c r="V211" s="32">
        <f>Q211/R211</f>
        <v>0.4226713532513181</v>
      </c>
      <c r="W211" s="31">
        <f>P211/O211</f>
        <v>0.65075376884422109</v>
      </c>
      <c r="X211" s="31">
        <f>Q211/(O211+P211)</f>
        <v>0.73211567732115679</v>
      </c>
      <c r="Y211" s="65">
        <f>R211/R$488</f>
        <v>3.3058427429779893E-3</v>
      </c>
      <c r="Z211" s="30">
        <v>1342</v>
      </c>
      <c r="AA211" s="30">
        <v>1425</v>
      </c>
      <c r="AB211" s="29">
        <v>1584</v>
      </c>
      <c r="AC211" s="34">
        <f>Z211/R211</f>
        <v>1.179261862917399</v>
      </c>
      <c r="AD211" s="34">
        <f>AA211/Z211</f>
        <v>1.0618479880774963</v>
      </c>
      <c r="AE211" s="34">
        <f>AB211/AA211</f>
        <v>1.111578947368421</v>
      </c>
      <c r="AF211" s="35">
        <f>AB211/R211</f>
        <v>1.3919156414762741</v>
      </c>
      <c r="AG211" s="29">
        <f>0.6*Z211+0.4*AA211</f>
        <v>1375.1999999999998</v>
      </c>
      <c r="AH211" s="54">
        <v>10720</v>
      </c>
      <c r="AI211" s="59">
        <f>AH211/AG211</f>
        <v>7.7952297847585816</v>
      </c>
      <c r="AJ211" s="61">
        <f>AI211/AI$488</f>
        <v>1.6565200538674225</v>
      </c>
    </row>
    <row r="212" spans="1:36" ht="15" customHeight="1" x14ac:dyDescent="0.2">
      <c r="A212" s="27" t="s">
        <v>187</v>
      </c>
      <c r="B212" s="27"/>
      <c r="C212" s="28" t="s">
        <v>81</v>
      </c>
      <c r="D212" s="27">
        <v>10</v>
      </c>
      <c r="E212" s="27"/>
      <c r="F212" s="27"/>
      <c r="G212" s="27" t="s">
        <v>330</v>
      </c>
      <c r="H212" s="27">
        <v>15</v>
      </c>
      <c r="I212" s="27" t="s">
        <v>624</v>
      </c>
      <c r="J212" s="27">
        <v>4</v>
      </c>
      <c r="K212" s="27">
        <v>4</v>
      </c>
      <c r="L212" s="27">
        <v>42</v>
      </c>
      <c r="M212" s="29">
        <v>24</v>
      </c>
      <c r="N212" s="30">
        <v>24</v>
      </c>
      <c r="O212" s="30">
        <v>103</v>
      </c>
      <c r="P212" s="30">
        <v>10</v>
      </c>
      <c r="Q212" s="30">
        <v>29</v>
      </c>
      <c r="R212" s="30">
        <v>142</v>
      </c>
      <c r="S212" s="31">
        <f>R212/N212</f>
        <v>5.916666666666667</v>
      </c>
      <c r="T212" s="32">
        <f>O212/R212</f>
        <v>0.72535211267605637</v>
      </c>
      <c r="U212" s="32">
        <f>P212/R212</f>
        <v>7.0422535211267609E-2</v>
      </c>
      <c r="V212" s="32">
        <f>Q212/R212</f>
        <v>0.20422535211267606</v>
      </c>
      <c r="W212" s="31">
        <f>P212/O212</f>
        <v>9.7087378640776698E-2</v>
      </c>
      <c r="X212" s="31">
        <f>Q212/(O212+P212)</f>
        <v>0.25663716814159293</v>
      </c>
      <c r="Y212" s="65">
        <f>R212/R$488</f>
        <v>4.1250410325384401E-4</v>
      </c>
      <c r="Z212" s="30">
        <v>182</v>
      </c>
      <c r="AA212" s="30">
        <v>199</v>
      </c>
      <c r="AB212" s="29">
        <v>210</v>
      </c>
      <c r="AC212" s="34">
        <f>Z212/R212</f>
        <v>1.2816901408450705</v>
      </c>
      <c r="AD212" s="34">
        <f>AA212/Z212</f>
        <v>1.0934065934065933</v>
      </c>
      <c r="AE212" s="34">
        <f>AB212/AA212</f>
        <v>1.0552763819095476</v>
      </c>
      <c r="AF212" s="35">
        <f>AB212/R212</f>
        <v>1.4788732394366197</v>
      </c>
      <c r="AG212" s="29">
        <f>0.6*Z212+0.4*AA212</f>
        <v>188.8</v>
      </c>
      <c r="AH212" s="54">
        <v>1498</v>
      </c>
      <c r="AI212" s="59">
        <f>AH212/AG212</f>
        <v>7.9343220338983045</v>
      </c>
      <c r="AJ212" s="61">
        <f>AI212/AI$488</f>
        <v>1.6860777585662599</v>
      </c>
    </row>
    <row r="213" spans="1:36" ht="15" customHeight="1" x14ac:dyDescent="0.2">
      <c r="A213" s="28" t="s">
        <v>540</v>
      </c>
      <c r="B213" s="28"/>
      <c r="C213" s="28" t="s">
        <v>120</v>
      </c>
      <c r="D213" s="28">
        <v>9</v>
      </c>
      <c r="E213" s="27"/>
      <c r="F213" s="27"/>
      <c r="G213" s="27" t="s">
        <v>172</v>
      </c>
      <c r="H213" s="27">
        <v>1</v>
      </c>
      <c r="I213" s="27" t="s">
        <v>618</v>
      </c>
      <c r="J213" s="27">
        <v>6</v>
      </c>
      <c r="K213" s="27">
        <v>6</v>
      </c>
      <c r="L213" s="27">
        <v>30</v>
      </c>
      <c r="M213" s="37">
        <v>33</v>
      </c>
      <c r="N213" s="40">
        <v>45</v>
      </c>
      <c r="O213" s="40">
        <v>84</v>
      </c>
      <c r="P213" s="40">
        <v>23</v>
      </c>
      <c r="Q213" s="40">
        <v>83</v>
      </c>
      <c r="R213" s="30">
        <v>190</v>
      </c>
      <c r="S213" s="31">
        <f>R213/N213</f>
        <v>4.2222222222222223</v>
      </c>
      <c r="T213" s="32">
        <f>O213/R213</f>
        <v>0.44210526315789472</v>
      </c>
      <c r="U213" s="32">
        <f>P213/R213</f>
        <v>0.12105263157894737</v>
      </c>
      <c r="V213" s="32">
        <f>Q213/R213</f>
        <v>0.43684210526315792</v>
      </c>
      <c r="W213" s="31">
        <f>P213/O213</f>
        <v>0.27380952380952384</v>
      </c>
      <c r="X213" s="31">
        <f>Q213/(O213+P213)</f>
        <v>0.77570093457943923</v>
      </c>
      <c r="Y213" s="65">
        <f>R213/R$488</f>
        <v>5.5194210998753778E-4</v>
      </c>
      <c r="Z213" s="30">
        <v>193</v>
      </c>
      <c r="AA213" s="30">
        <v>262</v>
      </c>
      <c r="AB213" s="29">
        <v>307</v>
      </c>
      <c r="AC213" s="34">
        <f>Z213/R213</f>
        <v>1.0157894736842106</v>
      </c>
      <c r="AD213" s="34">
        <f>AA213/Z213</f>
        <v>1.3575129533678756</v>
      </c>
      <c r="AE213" s="34">
        <f>AB213/AA213</f>
        <v>1.1717557251908397</v>
      </c>
      <c r="AF213" s="35">
        <f>AB213/R213</f>
        <v>1.6157894736842104</v>
      </c>
      <c r="AG213" s="29">
        <f>0.6*Z213+0.4*AA213</f>
        <v>220.60000000000002</v>
      </c>
      <c r="AH213" s="54">
        <v>2472</v>
      </c>
      <c r="AI213" s="59">
        <f>AH213/AG213</f>
        <v>11.205802357207615</v>
      </c>
      <c r="AJ213" s="61">
        <f>AI213/AI$488</f>
        <v>2.3812814807182923</v>
      </c>
    </row>
    <row r="214" spans="1:36" ht="15" customHeight="1" x14ac:dyDescent="0.2">
      <c r="A214" s="27" t="s">
        <v>30</v>
      </c>
      <c r="B214" s="27"/>
      <c r="C214" s="27" t="s">
        <v>30</v>
      </c>
      <c r="D214" s="28">
        <v>14</v>
      </c>
      <c r="E214" s="27" t="s">
        <v>421</v>
      </c>
      <c r="F214" s="27"/>
      <c r="G214" s="27" t="s">
        <v>30</v>
      </c>
      <c r="H214" s="27">
        <v>8</v>
      </c>
      <c r="I214" s="27" t="s">
        <v>619</v>
      </c>
      <c r="J214" s="27">
        <v>9</v>
      </c>
      <c r="K214" s="27">
        <v>2</v>
      </c>
      <c r="L214" s="27">
        <v>37</v>
      </c>
      <c r="M214" s="29">
        <v>279</v>
      </c>
      <c r="N214" s="30">
        <v>298</v>
      </c>
      <c r="O214" s="30">
        <v>363</v>
      </c>
      <c r="P214" s="30">
        <v>80</v>
      </c>
      <c r="Q214" s="30">
        <v>1103</v>
      </c>
      <c r="R214" s="30">
        <v>1546</v>
      </c>
      <c r="S214" s="31">
        <f>R214/N214</f>
        <v>5.1879194630872485</v>
      </c>
      <c r="T214" s="32">
        <f>O214/R214</f>
        <v>0.23479948253557567</v>
      </c>
      <c r="U214" s="32">
        <f>P214/R214</f>
        <v>5.1746442432082797E-2</v>
      </c>
      <c r="V214" s="32">
        <f>Q214/R214</f>
        <v>0.71345407503234148</v>
      </c>
      <c r="W214" s="31">
        <f>P214/O214</f>
        <v>0.22038567493112948</v>
      </c>
      <c r="X214" s="31">
        <f>Q214/(O214+P214)</f>
        <v>2.489841986455982</v>
      </c>
      <c r="Y214" s="65">
        <f>R214/R$488</f>
        <v>4.4910658002143859E-3</v>
      </c>
      <c r="Z214" s="30">
        <v>1734</v>
      </c>
      <c r="AA214" s="30">
        <v>1968</v>
      </c>
      <c r="AB214" s="29">
        <v>2143</v>
      </c>
      <c r="AC214" s="34">
        <f>Z214/R214</f>
        <v>1.1216041397153946</v>
      </c>
      <c r="AD214" s="34">
        <f>AA214/Z214</f>
        <v>1.1349480968858132</v>
      </c>
      <c r="AE214" s="34">
        <f>AB214/AA214</f>
        <v>1.0889227642276422</v>
      </c>
      <c r="AF214" s="35">
        <f>AB214/R214</f>
        <v>1.3861578266494179</v>
      </c>
      <c r="AG214" s="29">
        <f>0.6*Z214+0.4*AA214</f>
        <v>1827.6</v>
      </c>
      <c r="AH214" s="54">
        <v>9091</v>
      </c>
      <c r="AI214" s="59">
        <f>AH214/AG214</f>
        <v>4.9742832129568839</v>
      </c>
      <c r="AJ214" s="61">
        <f>AI214/AI$488</f>
        <v>1.057056703060915</v>
      </c>
    </row>
    <row r="215" spans="1:36" ht="15" customHeight="1" x14ac:dyDescent="0.2">
      <c r="A215" s="28" t="s">
        <v>135</v>
      </c>
      <c r="B215" s="28"/>
      <c r="C215" s="28" t="s">
        <v>117</v>
      </c>
      <c r="D215" s="28">
        <v>3</v>
      </c>
      <c r="E215" s="27" t="s">
        <v>420</v>
      </c>
      <c r="F215" s="27"/>
      <c r="G215" s="27" t="s">
        <v>4</v>
      </c>
      <c r="H215" s="27">
        <v>14</v>
      </c>
      <c r="I215" s="27" t="s">
        <v>622</v>
      </c>
      <c r="J215" s="27">
        <v>8</v>
      </c>
      <c r="K215" s="27">
        <v>2</v>
      </c>
      <c r="L215" s="27">
        <v>39</v>
      </c>
      <c r="M215" s="29">
        <v>206</v>
      </c>
      <c r="N215" s="40">
        <v>222</v>
      </c>
      <c r="O215" s="30">
        <v>152</v>
      </c>
      <c r="P215" s="30">
        <v>144</v>
      </c>
      <c r="Q215" s="30">
        <v>922</v>
      </c>
      <c r="R215" s="30">
        <v>1218</v>
      </c>
      <c r="S215" s="31">
        <f>R215/N215</f>
        <v>5.4864864864864868</v>
      </c>
      <c r="T215" s="32">
        <f>O215/R215</f>
        <v>0.12479474548440066</v>
      </c>
      <c r="U215" s="32">
        <f>P215/R215</f>
        <v>0.11822660098522167</v>
      </c>
      <c r="V215" s="32">
        <f>Q215/R215</f>
        <v>0.75697865353037763</v>
      </c>
      <c r="W215" s="31">
        <f>P215/O215</f>
        <v>0.94736842105263153</v>
      </c>
      <c r="X215" s="31">
        <f>Q215/(O215+P215)</f>
        <v>3.1148648648648649</v>
      </c>
      <c r="Y215" s="65">
        <f>R215/R$488</f>
        <v>3.5382394208674788E-3</v>
      </c>
      <c r="Z215" s="30">
        <v>1380</v>
      </c>
      <c r="AA215" s="30">
        <v>1499</v>
      </c>
      <c r="AB215" s="29">
        <v>1606</v>
      </c>
      <c r="AC215" s="34">
        <f>Z215/R215</f>
        <v>1.1330049261083743</v>
      </c>
      <c r="AD215" s="34">
        <f>AA215/Z215</f>
        <v>1.086231884057971</v>
      </c>
      <c r="AE215" s="34">
        <f>AB215/AA215</f>
        <v>1.0713809206137426</v>
      </c>
      <c r="AF215" s="35">
        <f>AB215/R215</f>
        <v>1.3185550082101807</v>
      </c>
      <c r="AG215" s="29">
        <f>0.6*Z215+0.4*AA215</f>
        <v>1427.6</v>
      </c>
      <c r="AH215" s="54">
        <v>4346</v>
      </c>
      <c r="AI215" s="59">
        <f>AH215/AG215</f>
        <v>3.0442701036704962</v>
      </c>
      <c r="AJ215" s="61">
        <f>AI215/AI$488</f>
        <v>0.64692056749619131</v>
      </c>
    </row>
    <row r="216" spans="1:36" ht="15" customHeight="1" x14ac:dyDescent="0.2">
      <c r="A216" s="27" t="s">
        <v>467</v>
      </c>
      <c r="B216" s="27"/>
      <c r="C216" s="27" t="s">
        <v>438</v>
      </c>
      <c r="D216" s="27">
        <v>99</v>
      </c>
      <c r="E216" s="27"/>
      <c r="F216" s="27"/>
      <c r="G216" s="27" t="s">
        <v>598</v>
      </c>
      <c r="H216" s="27">
        <v>99</v>
      </c>
      <c r="I216" s="27" t="s">
        <v>618</v>
      </c>
      <c r="J216" s="27">
        <v>6</v>
      </c>
      <c r="K216" s="27" t="s">
        <v>442</v>
      </c>
      <c r="L216" s="27" t="s">
        <v>440</v>
      </c>
      <c r="M216" s="30"/>
      <c r="N216" s="30"/>
      <c r="O216" s="30"/>
      <c r="P216" s="30"/>
      <c r="Q216" s="30"/>
      <c r="R216" s="30">
        <v>679</v>
      </c>
      <c r="S216" s="27"/>
      <c r="T216" s="27"/>
      <c r="U216" s="27"/>
      <c r="V216" s="27"/>
      <c r="W216" s="27"/>
      <c r="X216" s="31"/>
      <c r="Y216" s="65"/>
      <c r="Z216" s="30">
        <v>771</v>
      </c>
      <c r="AA216" s="30">
        <v>856</v>
      </c>
      <c r="AB216" s="30">
        <v>886</v>
      </c>
      <c r="AC216" s="34">
        <f>Z216/R216</f>
        <v>1.1354933726067746</v>
      </c>
      <c r="AD216" s="34">
        <f>AA216/Z216</f>
        <v>1.1102464332036317</v>
      </c>
      <c r="AE216" s="34">
        <f>AB216/AA216</f>
        <v>1.0350467289719627</v>
      </c>
      <c r="AF216" s="35">
        <f>AB216/R216</f>
        <v>1.304860088365243</v>
      </c>
      <c r="AG216" s="29">
        <f>0.6*Z216+0.4*AA216</f>
        <v>805</v>
      </c>
      <c r="AH216" s="66">
        <v>4134</v>
      </c>
      <c r="AI216" s="59">
        <f>AH216/AG216</f>
        <v>5.1354037267080743</v>
      </c>
      <c r="AJ216" s="61">
        <f>AI216/AI$488</f>
        <v>1.0912955092908632</v>
      </c>
    </row>
    <row r="217" spans="1:36" ht="15" customHeight="1" x14ac:dyDescent="0.2">
      <c r="A217" s="27" t="s">
        <v>360</v>
      </c>
      <c r="B217" s="27"/>
      <c r="C217" s="27" t="s">
        <v>325</v>
      </c>
      <c r="D217" s="27">
        <v>4</v>
      </c>
      <c r="E217" s="27"/>
      <c r="F217" s="27"/>
      <c r="G217" s="27" t="s">
        <v>331</v>
      </c>
      <c r="H217" s="27">
        <v>17</v>
      </c>
      <c r="I217" s="27" t="s">
        <v>620</v>
      </c>
      <c r="J217" s="27">
        <v>10</v>
      </c>
      <c r="K217" s="27">
        <v>1</v>
      </c>
      <c r="L217" s="27">
        <v>32</v>
      </c>
      <c r="M217" s="29">
        <v>77</v>
      </c>
      <c r="N217" s="30">
        <v>93</v>
      </c>
      <c r="O217" s="30">
        <v>102</v>
      </c>
      <c r="P217" s="30">
        <v>21</v>
      </c>
      <c r="Q217" s="30">
        <v>295</v>
      </c>
      <c r="R217" s="30">
        <v>418</v>
      </c>
      <c r="S217" s="31">
        <f>R217/N217</f>
        <v>4.4946236559139781</v>
      </c>
      <c r="T217" s="32">
        <f>O217/R217</f>
        <v>0.24401913875598086</v>
      </c>
      <c r="U217" s="32">
        <f>P217/R217</f>
        <v>5.0239234449760764E-2</v>
      </c>
      <c r="V217" s="32">
        <f>Q217/R217</f>
        <v>0.70574162679425834</v>
      </c>
      <c r="W217" s="31">
        <f>P217/O217</f>
        <v>0.20588235294117646</v>
      </c>
      <c r="X217" s="31">
        <f>Q217/(O217+P217)</f>
        <v>2.3983739837398375</v>
      </c>
      <c r="Y217" s="65">
        <f>R217/R$488</f>
        <v>1.2142726419725829E-3</v>
      </c>
      <c r="Z217" s="30">
        <v>410</v>
      </c>
      <c r="AA217" s="30">
        <v>485</v>
      </c>
      <c r="AB217" s="29">
        <v>586</v>
      </c>
      <c r="AC217" s="34">
        <f>Z217/R217</f>
        <v>0.98086124401913877</v>
      </c>
      <c r="AD217" s="34">
        <f>AA217/Z217</f>
        <v>1.1829268292682926</v>
      </c>
      <c r="AE217" s="34">
        <f>AB217/AA217</f>
        <v>1.2082474226804123</v>
      </c>
      <c r="AF217" s="35">
        <f>AB217/R217</f>
        <v>1.4019138755980862</v>
      </c>
      <c r="AG217" s="29">
        <f>0.6*Z217+0.4*AA217</f>
        <v>440</v>
      </c>
      <c r="AH217" s="54">
        <v>2693</v>
      </c>
      <c r="AI217" s="59">
        <f>AH217/AG217</f>
        <v>6.1204545454545451</v>
      </c>
      <c r="AJ217" s="61">
        <f>AI217/AI$488</f>
        <v>1.3006230699129375</v>
      </c>
    </row>
    <row r="218" spans="1:36" ht="15" customHeight="1" x14ac:dyDescent="0.2">
      <c r="A218" s="28" t="s">
        <v>114</v>
      </c>
      <c r="B218" s="28">
        <v>5</v>
      </c>
      <c r="C218" s="28" t="s">
        <v>114</v>
      </c>
      <c r="D218" s="27">
        <v>17</v>
      </c>
      <c r="E218" s="27"/>
      <c r="F218" s="27" t="s">
        <v>481</v>
      </c>
      <c r="G218" s="27" t="s">
        <v>219</v>
      </c>
      <c r="H218" s="27">
        <v>6</v>
      </c>
      <c r="I218" s="27" t="s">
        <v>621</v>
      </c>
      <c r="J218" s="27">
        <v>7</v>
      </c>
      <c r="K218" s="27">
        <v>7</v>
      </c>
      <c r="L218" s="27">
        <v>16</v>
      </c>
      <c r="M218" s="29">
        <v>174</v>
      </c>
      <c r="N218" s="30">
        <v>180</v>
      </c>
      <c r="O218" s="30">
        <v>209</v>
      </c>
      <c r="P218" s="30">
        <v>75</v>
      </c>
      <c r="Q218" s="30">
        <v>736</v>
      </c>
      <c r="R218" s="30">
        <v>1020</v>
      </c>
      <c r="S218" s="31">
        <f>R218/N218</f>
        <v>5.666666666666667</v>
      </c>
      <c r="T218" s="32">
        <f>O218/R218</f>
        <v>0.20490196078431372</v>
      </c>
      <c r="U218" s="32">
        <f>P218/R218</f>
        <v>7.3529411764705885E-2</v>
      </c>
      <c r="V218" s="32">
        <f>Q218/R218</f>
        <v>0.72156862745098038</v>
      </c>
      <c r="W218" s="31">
        <f>P218/O218</f>
        <v>0.35885167464114831</v>
      </c>
      <c r="X218" s="31">
        <f>Q218/(O218+P218)</f>
        <v>2.591549295774648</v>
      </c>
      <c r="Y218" s="65">
        <f>R218/R$488</f>
        <v>2.9630576430909922E-3</v>
      </c>
      <c r="Z218" s="30">
        <v>882</v>
      </c>
      <c r="AA218" s="30">
        <v>1159</v>
      </c>
      <c r="AB218" s="29">
        <v>1228</v>
      </c>
      <c r="AC218" s="34">
        <f>Z218/R218</f>
        <v>0.86470588235294121</v>
      </c>
      <c r="AD218" s="34">
        <f>AA218/Z218</f>
        <v>1.3140589569160999</v>
      </c>
      <c r="AE218" s="34">
        <f>AB218/AA218</f>
        <v>1.0595340811044003</v>
      </c>
      <c r="AF218" s="35">
        <f>AB218/R218</f>
        <v>1.2039215686274509</v>
      </c>
      <c r="AG218" s="29">
        <f>0.6*Z218+0.4*AA218</f>
        <v>992.8</v>
      </c>
      <c r="AH218" s="54">
        <v>4282</v>
      </c>
      <c r="AI218" s="59">
        <f>AH218/AG218</f>
        <v>4.3130539887187753</v>
      </c>
      <c r="AJ218" s="61">
        <f>AI218/AI$488</f>
        <v>0.91654263222553578</v>
      </c>
    </row>
    <row r="219" spans="1:36" ht="15" customHeight="1" x14ac:dyDescent="0.2">
      <c r="A219" s="27" t="s">
        <v>490</v>
      </c>
      <c r="B219" s="27"/>
      <c r="C219" s="27" t="s">
        <v>111</v>
      </c>
      <c r="D219" s="28">
        <v>28</v>
      </c>
      <c r="E219" s="27"/>
      <c r="F219" s="27"/>
      <c r="G219" s="27" t="s">
        <v>426</v>
      </c>
      <c r="H219" s="27">
        <v>13</v>
      </c>
      <c r="I219" s="27" t="s">
        <v>111</v>
      </c>
      <c r="J219" s="27">
        <v>5</v>
      </c>
      <c r="K219" s="27">
        <v>2</v>
      </c>
      <c r="L219" s="27">
        <v>47</v>
      </c>
      <c r="M219" s="37">
        <v>107</v>
      </c>
      <c r="N219" s="40">
        <v>107</v>
      </c>
      <c r="O219" s="40">
        <v>236</v>
      </c>
      <c r="P219" s="40">
        <v>65</v>
      </c>
      <c r="Q219" s="40">
        <v>236</v>
      </c>
      <c r="R219" s="30">
        <v>537</v>
      </c>
      <c r="S219" s="31">
        <f>R219/N219</f>
        <v>5.018691588785047</v>
      </c>
      <c r="T219" s="32">
        <f>O219/R219</f>
        <v>0.43947858472998136</v>
      </c>
      <c r="U219" s="32">
        <f>P219/R219</f>
        <v>0.12104283054003724</v>
      </c>
      <c r="V219" s="32">
        <f>Q219/R219</f>
        <v>0.43947858472998136</v>
      </c>
      <c r="W219" s="31">
        <f>P219/O219</f>
        <v>0.27542372881355931</v>
      </c>
      <c r="X219" s="31">
        <f>Q219/(O219+P219)</f>
        <v>0.78405315614617943</v>
      </c>
      <c r="Y219" s="65">
        <f>R219/R$488</f>
        <v>1.5599627003331988E-3</v>
      </c>
      <c r="Z219" s="30">
        <v>575</v>
      </c>
      <c r="AA219" s="30">
        <v>678</v>
      </c>
      <c r="AB219" s="29">
        <v>747</v>
      </c>
      <c r="AC219" s="34">
        <f>Z219/R219</f>
        <v>1.0707635009310987</v>
      </c>
      <c r="AD219" s="34">
        <f>AA219/Z219</f>
        <v>1.1791304347826086</v>
      </c>
      <c r="AE219" s="34">
        <f>AB219/AA219</f>
        <v>1.1017699115044248</v>
      </c>
      <c r="AF219" s="35">
        <f>AB219/R219</f>
        <v>1.3910614525139664</v>
      </c>
      <c r="AG219" s="29">
        <f>0.6*Z219+0.4*AA219</f>
        <v>616.20000000000005</v>
      </c>
      <c r="AH219" s="54">
        <v>3337</v>
      </c>
      <c r="AI219" s="59">
        <f>AH219/AG219</f>
        <v>5.4154495293735794</v>
      </c>
      <c r="AJ219" s="61">
        <f>AI219/AI$488</f>
        <v>1.1508064539231611</v>
      </c>
    </row>
    <row r="220" spans="1:36" ht="15" customHeight="1" x14ac:dyDescent="0.2">
      <c r="A220" s="28" t="s">
        <v>244</v>
      </c>
      <c r="B220" s="28"/>
      <c r="C220" s="28" t="s">
        <v>118</v>
      </c>
      <c r="D220" s="28">
        <v>19</v>
      </c>
      <c r="E220" s="27"/>
      <c r="F220" s="27"/>
      <c r="G220" s="27" t="s">
        <v>350</v>
      </c>
      <c r="H220" s="27">
        <v>2</v>
      </c>
      <c r="I220" s="27" t="s">
        <v>619</v>
      </c>
      <c r="J220" s="27">
        <v>9</v>
      </c>
      <c r="K220" s="27">
        <v>2</v>
      </c>
      <c r="L220" s="27">
        <v>40</v>
      </c>
      <c r="M220" s="37">
        <v>125</v>
      </c>
      <c r="N220" s="30">
        <v>129</v>
      </c>
      <c r="O220" s="30">
        <v>410</v>
      </c>
      <c r="P220" s="30">
        <v>34</v>
      </c>
      <c r="Q220" s="30">
        <v>249</v>
      </c>
      <c r="R220" s="30">
        <v>693</v>
      </c>
      <c r="S220" s="31">
        <f>R220/N220</f>
        <v>5.3720930232558137</v>
      </c>
      <c r="T220" s="32">
        <f>O220/R220</f>
        <v>0.59163059163059162</v>
      </c>
      <c r="U220" s="32">
        <f>P220/R220</f>
        <v>4.9062049062049064E-2</v>
      </c>
      <c r="V220" s="32">
        <f>Q220/R220</f>
        <v>0.3593073593073593</v>
      </c>
      <c r="W220" s="31">
        <f>P220/O220</f>
        <v>8.2926829268292687E-2</v>
      </c>
      <c r="X220" s="31">
        <f>Q220/(O220+P220)</f>
        <v>0.56081081081081086</v>
      </c>
      <c r="Y220" s="65">
        <f>R220/R$488</f>
        <v>2.0131362222177034E-3</v>
      </c>
      <c r="Z220" s="30">
        <v>662</v>
      </c>
      <c r="AA220" s="30">
        <v>748</v>
      </c>
      <c r="AB220" s="29">
        <v>653</v>
      </c>
      <c r="AC220" s="34">
        <f>Z220/R220</f>
        <v>0.95526695526695526</v>
      </c>
      <c r="AD220" s="34">
        <f>AA220/Z220</f>
        <v>1.1299093655589123</v>
      </c>
      <c r="AE220" s="34">
        <f>AB220/AA220</f>
        <v>0.87299465240641716</v>
      </c>
      <c r="AF220" s="35">
        <f>AB220/R220</f>
        <v>0.94227994227994227</v>
      </c>
      <c r="AG220" s="29">
        <f>0.6*Z220+0.4*AA220</f>
        <v>696.4</v>
      </c>
      <c r="AH220" s="54">
        <v>2854</v>
      </c>
      <c r="AI220" s="59">
        <f>AH220/AG220</f>
        <v>4.0982194141298107</v>
      </c>
      <c r="AJ220" s="61">
        <f>AI220/AI$488</f>
        <v>0.8708893556837054</v>
      </c>
    </row>
    <row r="221" spans="1:36" ht="15" customHeight="1" x14ac:dyDescent="0.2">
      <c r="A221" s="27" t="s">
        <v>398</v>
      </c>
      <c r="B221" s="27"/>
      <c r="C221" s="27" t="s">
        <v>331</v>
      </c>
      <c r="D221" s="27">
        <v>24</v>
      </c>
      <c r="E221" s="27"/>
      <c r="F221" s="27"/>
      <c r="G221" s="27" t="s">
        <v>331</v>
      </c>
      <c r="H221" s="27">
        <v>17</v>
      </c>
      <c r="I221" s="27" t="s">
        <v>620</v>
      </c>
      <c r="J221" s="27">
        <v>10</v>
      </c>
      <c r="K221" s="27">
        <v>1</v>
      </c>
      <c r="L221" s="27">
        <v>29</v>
      </c>
      <c r="M221" s="29">
        <v>45</v>
      </c>
      <c r="N221" s="30">
        <v>45</v>
      </c>
      <c r="O221" s="30">
        <v>126</v>
      </c>
      <c r="P221" s="30">
        <v>54</v>
      </c>
      <c r="Q221" s="30">
        <v>84</v>
      </c>
      <c r="R221" s="30">
        <v>264</v>
      </c>
      <c r="S221" s="31">
        <f>R221/N221</f>
        <v>5.8666666666666663</v>
      </c>
      <c r="T221" s="32">
        <f>O221/R221</f>
        <v>0.47727272727272729</v>
      </c>
      <c r="U221" s="32">
        <f>P221/R221</f>
        <v>0.20454545454545456</v>
      </c>
      <c r="V221" s="32">
        <f>Q221/R221</f>
        <v>0.31818181818181818</v>
      </c>
      <c r="W221" s="31">
        <f>P221/O221</f>
        <v>0.42857142857142855</v>
      </c>
      <c r="X221" s="31">
        <f>Q221/(O221+P221)</f>
        <v>0.46666666666666667</v>
      </c>
      <c r="Y221" s="65">
        <f>R221/R$488</f>
        <v>7.6690903703531554E-4</v>
      </c>
      <c r="Z221" s="30">
        <v>262</v>
      </c>
      <c r="AA221" s="30">
        <v>278</v>
      </c>
      <c r="AB221" s="29">
        <v>280</v>
      </c>
      <c r="AC221" s="34">
        <f>Z221/R221</f>
        <v>0.99242424242424243</v>
      </c>
      <c r="AD221" s="34">
        <f>AA221/Z221</f>
        <v>1.0610687022900764</v>
      </c>
      <c r="AE221" s="34">
        <f>AB221/AA221</f>
        <v>1.0071942446043165</v>
      </c>
      <c r="AF221" s="35">
        <f>AB221/R221</f>
        <v>1.0606060606060606</v>
      </c>
      <c r="AG221" s="29">
        <f>0.6*Z221+0.4*AA221</f>
        <v>268.39999999999998</v>
      </c>
      <c r="AH221" s="54">
        <v>2061</v>
      </c>
      <c r="AI221" s="59">
        <f>AH221/AG221</f>
        <v>7.6788375558867372</v>
      </c>
      <c r="AJ221" s="61">
        <f>AI221/AI$488</f>
        <v>1.631786201682909</v>
      </c>
    </row>
    <row r="222" spans="1:36" ht="15" customHeight="1" x14ac:dyDescent="0.2">
      <c r="A222" s="28" t="s">
        <v>136</v>
      </c>
      <c r="B222" s="28"/>
      <c r="C222" s="28" t="s">
        <v>117</v>
      </c>
      <c r="D222" s="28">
        <v>3</v>
      </c>
      <c r="E222" s="27"/>
      <c r="F222" s="27"/>
      <c r="G222" s="27" t="s">
        <v>4</v>
      </c>
      <c r="H222" s="27">
        <v>14</v>
      </c>
      <c r="I222" s="27" t="s">
        <v>622</v>
      </c>
      <c r="J222" s="27">
        <v>8</v>
      </c>
      <c r="K222" s="27">
        <v>2</v>
      </c>
      <c r="L222" s="27">
        <v>41</v>
      </c>
      <c r="M222" s="29">
        <v>38</v>
      </c>
      <c r="N222" s="30">
        <v>43</v>
      </c>
      <c r="O222" s="30">
        <v>131</v>
      </c>
      <c r="P222" s="30">
        <v>2</v>
      </c>
      <c r="Q222" s="30">
        <v>71</v>
      </c>
      <c r="R222" s="30">
        <v>204</v>
      </c>
      <c r="S222" s="31">
        <f>R222/N222</f>
        <v>4.7441860465116283</v>
      </c>
      <c r="T222" s="32">
        <f>O222/R222</f>
        <v>0.64215686274509809</v>
      </c>
      <c r="U222" s="32">
        <f>P222/R222</f>
        <v>9.8039215686274508E-3</v>
      </c>
      <c r="V222" s="32">
        <f>Q222/R222</f>
        <v>0.34803921568627449</v>
      </c>
      <c r="W222" s="31">
        <f>P222/O222</f>
        <v>1.5267175572519083E-2</v>
      </c>
      <c r="X222" s="31">
        <f>Q222/(O222+P222)</f>
        <v>0.53383458646616544</v>
      </c>
      <c r="Y222" s="65">
        <f>R222/R$488</f>
        <v>5.9261152861819842E-4</v>
      </c>
      <c r="Z222" s="30">
        <v>221</v>
      </c>
      <c r="AA222" s="30">
        <v>282</v>
      </c>
      <c r="AB222" s="29">
        <v>364</v>
      </c>
      <c r="AC222" s="34">
        <f>Z222/R222</f>
        <v>1.0833333333333333</v>
      </c>
      <c r="AD222" s="34">
        <f>AA222/Z222</f>
        <v>1.2760180995475112</v>
      </c>
      <c r="AE222" s="34">
        <f>AB222/AA222</f>
        <v>1.2907801418439717</v>
      </c>
      <c r="AF222" s="35">
        <f>AB222/R222</f>
        <v>1.7843137254901962</v>
      </c>
      <c r="AG222" s="29">
        <f>0.6*Z222+0.4*AA222</f>
        <v>245.4</v>
      </c>
      <c r="AH222" s="54">
        <v>1264</v>
      </c>
      <c r="AI222" s="59">
        <f>AH222/AG222</f>
        <v>5.1507742461287691</v>
      </c>
      <c r="AJ222" s="61">
        <f>AI222/AI$488</f>
        <v>1.0945618111654432</v>
      </c>
    </row>
    <row r="223" spans="1:36" ht="15" customHeight="1" x14ac:dyDescent="0.2">
      <c r="A223" s="28" t="s">
        <v>447</v>
      </c>
      <c r="B223" s="28"/>
      <c r="C223" s="27" t="s">
        <v>111</v>
      </c>
      <c r="D223" s="28">
        <v>28</v>
      </c>
      <c r="E223" s="27"/>
      <c r="F223" s="27"/>
      <c r="G223" s="27" t="s">
        <v>426</v>
      </c>
      <c r="H223" s="27">
        <v>13</v>
      </c>
      <c r="I223" s="27" t="s">
        <v>111</v>
      </c>
      <c r="J223" s="27">
        <v>5</v>
      </c>
      <c r="K223" s="27">
        <v>4</v>
      </c>
      <c r="L223" s="27">
        <v>46</v>
      </c>
      <c r="M223" s="38">
        <v>162</v>
      </c>
      <c r="N223" s="30">
        <v>163</v>
      </c>
      <c r="O223" s="30">
        <v>511</v>
      </c>
      <c r="P223" s="30">
        <v>229</v>
      </c>
      <c r="Q223" s="30">
        <v>37</v>
      </c>
      <c r="R223" s="30">
        <v>777</v>
      </c>
      <c r="S223" s="31">
        <f>R223/N223</f>
        <v>4.7668711656441713</v>
      </c>
      <c r="T223" s="32">
        <f>O223/R223</f>
        <v>0.65765765765765771</v>
      </c>
      <c r="U223" s="32">
        <f>P223/R223</f>
        <v>0.29472329472329473</v>
      </c>
      <c r="V223" s="32">
        <f>Q223/R223</f>
        <v>4.7619047619047616E-2</v>
      </c>
      <c r="W223" s="31">
        <f>P223/O223</f>
        <v>0.44814090019569469</v>
      </c>
      <c r="X223" s="31">
        <f>Q223/(O223+P223)</f>
        <v>0.05</v>
      </c>
      <c r="Y223" s="65">
        <f>R223/R$488</f>
        <v>2.2571527340016673E-3</v>
      </c>
      <c r="Z223" s="30">
        <v>823</v>
      </c>
      <c r="AA223" s="30">
        <v>907</v>
      </c>
      <c r="AB223" s="29">
        <v>1109</v>
      </c>
      <c r="AC223" s="34">
        <f>Z223/R223</f>
        <v>1.0592020592020592</v>
      </c>
      <c r="AD223" s="34">
        <f>AA223/Z223</f>
        <v>1.1020656136087486</v>
      </c>
      <c r="AE223" s="34">
        <f>AB223/AA223</f>
        <v>1.2227122381477398</v>
      </c>
      <c r="AF223" s="35">
        <f>AB223/R223</f>
        <v>1.4272844272844274</v>
      </c>
      <c r="AG223" s="29">
        <f>0.6*Z223+0.4*AA223</f>
        <v>856.59999999999991</v>
      </c>
      <c r="AH223" s="54">
        <v>3481</v>
      </c>
      <c r="AI223" s="59">
        <f>AH223/AG223</f>
        <v>4.0637403689003042</v>
      </c>
      <c r="AJ223" s="61">
        <f>AI223/AI$488</f>
        <v>0.86356240940528373</v>
      </c>
    </row>
    <row r="224" spans="1:36" ht="15" customHeight="1" x14ac:dyDescent="0.2">
      <c r="A224" s="28" t="s">
        <v>41</v>
      </c>
      <c r="B224" s="28"/>
      <c r="C224" s="28" t="s">
        <v>116</v>
      </c>
      <c r="D224" s="27">
        <v>32</v>
      </c>
      <c r="E224" s="27"/>
      <c r="F224" s="27"/>
      <c r="G224" s="27" t="s">
        <v>50</v>
      </c>
      <c r="H224" s="27">
        <v>7</v>
      </c>
      <c r="I224" s="27" t="s">
        <v>621</v>
      </c>
      <c r="J224" s="27">
        <v>7</v>
      </c>
      <c r="K224" s="27">
        <v>2</v>
      </c>
      <c r="L224" s="27">
        <v>49</v>
      </c>
      <c r="M224" s="29">
        <v>24</v>
      </c>
      <c r="N224" s="30">
        <v>28</v>
      </c>
      <c r="O224" s="30">
        <v>42</v>
      </c>
      <c r="P224" s="30">
        <v>5</v>
      </c>
      <c r="Q224" s="30">
        <v>77</v>
      </c>
      <c r="R224" s="30">
        <v>124</v>
      </c>
      <c r="S224" s="31">
        <f>R224/N224</f>
        <v>4.4285714285714288</v>
      </c>
      <c r="T224" s="32">
        <f>O224/R224</f>
        <v>0.33870967741935482</v>
      </c>
      <c r="U224" s="32">
        <f>P224/R224</f>
        <v>4.0322580645161289E-2</v>
      </c>
      <c r="V224" s="32">
        <f>Q224/R224</f>
        <v>0.62096774193548387</v>
      </c>
      <c r="W224" s="31">
        <f>P224/O224</f>
        <v>0.11904761904761904</v>
      </c>
      <c r="X224" s="31">
        <f>Q224/(O224+P224)</f>
        <v>1.6382978723404256</v>
      </c>
      <c r="Y224" s="65">
        <f>R224/R$488</f>
        <v>3.6021485072870881E-4</v>
      </c>
      <c r="Z224" s="30">
        <v>136</v>
      </c>
      <c r="AA224" s="30">
        <v>163</v>
      </c>
      <c r="AB224" s="29">
        <v>168</v>
      </c>
      <c r="AC224" s="34">
        <f>Z224/R224</f>
        <v>1.096774193548387</v>
      </c>
      <c r="AD224" s="34">
        <f>AA224/Z224</f>
        <v>1.1985294117647058</v>
      </c>
      <c r="AE224" s="34">
        <f>AB224/AA224</f>
        <v>1.0306748466257669</v>
      </c>
      <c r="AF224" s="35">
        <f>AB224/R224</f>
        <v>1.3548387096774193</v>
      </c>
      <c r="AG224" s="29">
        <f>0.6*Z224+0.4*AA224</f>
        <v>146.80000000000001</v>
      </c>
      <c r="AH224" s="54">
        <v>560</v>
      </c>
      <c r="AI224" s="59">
        <f>AH224/AG224</f>
        <v>3.8147138964577652</v>
      </c>
      <c r="AJ224" s="61">
        <f>AI224/AI$488</f>
        <v>0.81064320664470657</v>
      </c>
    </row>
    <row r="225" spans="1:36" ht="15" customHeight="1" x14ac:dyDescent="0.2">
      <c r="A225" s="27" t="s">
        <v>345</v>
      </c>
      <c r="B225" s="27"/>
      <c r="C225" s="27" t="s">
        <v>324</v>
      </c>
      <c r="D225" s="27">
        <v>2</v>
      </c>
      <c r="E225" s="27"/>
      <c r="F225" s="27"/>
      <c r="G225" s="27" t="s">
        <v>333</v>
      </c>
      <c r="H225" s="27">
        <v>22</v>
      </c>
      <c r="I225" s="27" t="s">
        <v>621</v>
      </c>
      <c r="J225" s="27">
        <v>7</v>
      </c>
      <c r="K225" s="27">
        <v>2</v>
      </c>
      <c r="L225" s="27">
        <v>44</v>
      </c>
      <c r="M225" s="29">
        <v>51</v>
      </c>
      <c r="N225" s="30">
        <v>51</v>
      </c>
      <c r="O225" s="30">
        <v>274</v>
      </c>
      <c r="P225" s="30">
        <v>9</v>
      </c>
      <c r="Q225" s="30">
        <v>0</v>
      </c>
      <c r="R225" s="30">
        <v>283</v>
      </c>
      <c r="S225" s="31">
        <f>R225/N225</f>
        <v>5.5490196078431371</v>
      </c>
      <c r="T225" s="32">
        <f>O225/R225</f>
        <v>0.96819787985865724</v>
      </c>
      <c r="U225" s="32">
        <f>P225/R225</f>
        <v>3.1802120141342753E-2</v>
      </c>
      <c r="V225" s="32">
        <f>Q225/R225</f>
        <v>0</v>
      </c>
      <c r="W225" s="31">
        <f>P225/O225</f>
        <v>3.2846715328467155E-2</v>
      </c>
      <c r="X225" s="31">
        <f>Q225/(O225+P225)</f>
        <v>0</v>
      </c>
      <c r="Y225" s="65">
        <f>R225/R$488</f>
        <v>8.2210324803406933E-4</v>
      </c>
      <c r="Z225" s="30">
        <v>324</v>
      </c>
      <c r="AA225" s="30">
        <v>354</v>
      </c>
      <c r="AB225" s="29">
        <v>335</v>
      </c>
      <c r="AC225" s="34">
        <f>Z225/R225</f>
        <v>1.1448763250883391</v>
      </c>
      <c r="AD225" s="34">
        <f>AA225/Z225</f>
        <v>1.0925925925925926</v>
      </c>
      <c r="AE225" s="34">
        <f>AB225/AA225</f>
        <v>0.9463276836158192</v>
      </c>
      <c r="AF225" s="35">
        <f>AB225/R225</f>
        <v>1.1837455830388692</v>
      </c>
      <c r="AG225" s="29">
        <f>0.6*Z225+0.4*AA225</f>
        <v>336</v>
      </c>
      <c r="AH225" s="54">
        <v>2642</v>
      </c>
      <c r="AI225" s="59">
        <f>AH225/AG225</f>
        <v>7.8630952380952381</v>
      </c>
      <c r="AJ225" s="61">
        <f>AI225/AI$488</f>
        <v>1.6709417563086748</v>
      </c>
    </row>
    <row r="226" spans="1:36" ht="15" customHeight="1" x14ac:dyDescent="0.2">
      <c r="A226" s="27" t="s">
        <v>491</v>
      </c>
      <c r="B226" s="27"/>
      <c r="C226" s="27" t="s">
        <v>81</v>
      </c>
      <c r="D226" s="27">
        <v>10</v>
      </c>
      <c r="E226" s="27"/>
      <c r="F226" s="27"/>
      <c r="G226" s="27" t="s">
        <v>330</v>
      </c>
      <c r="H226" s="27">
        <v>15</v>
      </c>
      <c r="I226" s="27" t="s">
        <v>624</v>
      </c>
      <c r="J226" s="27">
        <v>4</v>
      </c>
      <c r="K226" s="27">
        <v>4</v>
      </c>
      <c r="L226" s="27">
        <v>41</v>
      </c>
      <c r="M226" s="37">
        <v>167</v>
      </c>
      <c r="N226" s="40">
        <v>163</v>
      </c>
      <c r="O226" s="40">
        <v>383</v>
      </c>
      <c r="P226" s="40">
        <v>104</v>
      </c>
      <c r="Q226" s="40">
        <v>382</v>
      </c>
      <c r="R226" s="30">
        <v>869</v>
      </c>
      <c r="S226" s="31">
        <f>R226/N226</f>
        <v>5.3312883435582821</v>
      </c>
      <c r="T226" s="32">
        <f>O226/R226</f>
        <v>0.44073647871116228</v>
      </c>
      <c r="U226" s="32">
        <f>P226/R226</f>
        <v>0.11967779056386652</v>
      </c>
      <c r="V226" s="32">
        <f>Q226/R226</f>
        <v>0.43958573072497126</v>
      </c>
      <c r="W226" s="31">
        <f>P226/O226</f>
        <v>0.27154046997389036</v>
      </c>
      <c r="X226" s="31">
        <f>Q226/(O226+P226)</f>
        <v>0.78439425051334699</v>
      </c>
      <c r="Y226" s="65">
        <f>R226/R$488</f>
        <v>2.5244089135745803E-3</v>
      </c>
      <c r="Z226" s="30">
        <v>926</v>
      </c>
      <c r="AA226" s="30">
        <v>1083</v>
      </c>
      <c r="AB226" s="29">
        <v>1107</v>
      </c>
      <c r="AC226" s="34">
        <f>Z226/R226</f>
        <v>1.0655926352128884</v>
      </c>
      <c r="AD226" s="34">
        <f>AA226/Z226</f>
        <v>1.1695464362850971</v>
      </c>
      <c r="AE226" s="34">
        <f>AB226/AA226</f>
        <v>1.0221606648199446</v>
      </c>
      <c r="AF226" s="35">
        <f>AB226/R226</f>
        <v>1.2738780207134637</v>
      </c>
      <c r="AG226" s="29">
        <f>0.6*Z226+0.4*AA226</f>
        <v>988.80000000000007</v>
      </c>
      <c r="AH226" s="54">
        <v>7475</v>
      </c>
      <c r="AI226" s="59">
        <f>AH226/AG226</f>
        <v>7.5596682847896437</v>
      </c>
      <c r="AJ226" s="61">
        <f>AI226/AI$488</f>
        <v>1.606462216011175</v>
      </c>
    </row>
    <row r="227" spans="1:36" ht="15" customHeight="1" x14ac:dyDescent="0.2">
      <c r="A227" s="28" t="s">
        <v>103</v>
      </c>
      <c r="B227" s="28"/>
      <c r="C227" s="27" t="s">
        <v>116</v>
      </c>
      <c r="D227" s="27">
        <v>32</v>
      </c>
      <c r="E227" s="27"/>
      <c r="F227" s="27"/>
      <c r="G227" s="27" t="s">
        <v>50</v>
      </c>
      <c r="H227" s="27">
        <v>7</v>
      </c>
      <c r="I227" s="27" t="s">
        <v>111</v>
      </c>
      <c r="J227" s="27">
        <v>5</v>
      </c>
      <c r="K227" s="27">
        <v>2</v>
      </c>
      <c r="L227" s="27">
        <v>48</v>
      </c>
      <c r="M227" s="29">
        <v>35</v>
      </c>
      <c r="N227" s="30">
        <v>38</v>
      </c>
      <c r="O227" s="30">
        <v>79</v>
      </c>
      <c r="P227" s="30">
        <v>3</v>
      </c>
      <c r="Q227" s="30">
        <v>94</v>
      </c>
      <c r="R227" s="30">
        <v>176</v>
      </c>
      <c r="S227" s="31">
        <f>R227/N227</f>
        <v>4.6315789473684212</v>
      </c>
      <c r="T227" s="32">
        <f>O227/R227</f>
        <v>0.44886363636363635</v>
      </c>
      <c r="U227" s="32">
        <f>P227/R227</f>
        <v>1.7045454545454544E-2</v>
      </c>
      <c r="V227" s="32">
        <f>Q227/R227</f>
        <v>0.53409090909090906</v>
      </c>
      <c r="W227" s="31">
        <f>P227/O227</f>
        <v>3.7974683544303799E-2</v>
      </c>
      <c r="X227" s="31">
        <f>Q227/(O227+P227)</f>
        <v>1.1463414634146341</v>
      </c>
      <c r="Y227" s="65">
        <f>R227/R$488</f>
        <v>5.1127269135687703E-4</v>
      </c>
      <c r="Z227" s="30">
        <v>223</v>
      </c>
      <c r="AA227" s="30">
        <v>237</v>
      </c>
      <c r="AB227" s="29">
        <v>264</v>
      </c>
      <c r="AC227" s="34">
        <f>Z227/R227</f>
        <v>1.2670454545454546</v>
      </c>
      <c r="AD227" s="34">
        <f>AA227/Z227</f>
        <v>1.0627802690582959</v>
      </c>
      <c r="AE227" s="34">
        <f>AB227/AA227</f>
        <v>1.1139240506329113</v>
      </c>
      <c r="AF227" s="35">
        <f>AB227/R227</f>
        <v>1.5</v>
      </c>
      <c r="AG227" s="29">
        <f>0.6*Z227+0.4*AA227</f>
        <v>228.6</v>
      </c>
      <c r="AH227" s="54">
        <v>1166</v>
      </c>
      <c r="AI227" s="59">
        <f>AH227/AG227</f>
        <v>5.1006124234470693</v>
      </c>
      <c r="AJ227" s="61">
        <f>AI227/AI$488</f>
        <v>1.0839022068298219</v>
      </c>
    </row>
    <row r="228" spans="1:36" ht="15" customHeight="1" x14ac:dyDescent="0.2">
      <c r="A228" s="27" t="s">
        <v>346</v>
      </c>
      <c r="B228" s="27"/>
      <c r="C228" s="27" t="s">
        <v>324</v>
      </c>
      <c r="D228" s="27">
        <v>2</v>
      </c>
      <c r="E228" s="27"/>
      <c r="F228" s="27"/>
      <c r="G228" s="27" t="s">
        <v>333</v>
      </c>
      <c r="H228" s="27">
        <v>22</v>
      </c>
      <c r="I228" s="27" t="s">
        <v>621</v>
      </c>
      <c r="J228" s="27">
        <v>7</v>
      </c>
      <c r="K228" s="27">
        <v>2</v>
      </c>
      <c r="L228" s="27">
        <v>45</v>
      </c>
      <c r="M228" s="29">
        <v>193</v>
      </c>
      <c r="N228" s="30">
        <v>193</v>
      </c>
      <c r="O228" s="30">
        <v>43</v>
      </c>
      <c r="P228" s="30">
        <v>451</v>
      </c>
      <c r="Q228" s="30">
        <v>168</v>
      </c>
      <c r="R228" s="30">
        <v>662</v>
      </c>
      <c r="S228" s="31">
        <f>R228/N228</f>
        <v>3.4300518134715028</v>
      </c>
      <c r="T228" s="32">
        <f>O228/R228</f>
        <v>6.4954682779456194E-2</v>
      </c>
      <c r="U228" s="32">
        <f>P228/R228</f>
        <v>0.68126888217522663</v>
      </c>
      <c r="V228" s="32">
        <f>Q228/R228</f>
        <v>0.25377643504531722</v>
      </c>
      <c r="W228" s="31">
        <f>P228/O228</f>
        <v>10.488372093023257</v>
      </c>
      <c r="X228" s="31">
        <f>Q228/(O228+P228)</f>
        <v>0.34008097165991902</v>
      </c>
      <c r="Y228" s="65">
        <f>R228/R$488</f>
        <v>1.9230825095355262E-3</v>
      </c>
      <c r="Z228" s="30">
        <v>937</v>
      </c>
      <c r="AA228" s="30">
        <v>829</v>
      </c>
      <c r="AB228" s="29">
        <v>915</v>
      </c>
      <c r="AC228" s="34">
        <f>Z228/R228</f>
        <v>1.4154078549848943</v>
      </c>
      <c r="AD228" s="34">
        <f>AA228/Z228</f>
        <v>0.8847385272145144</v>
      </c>
      <c r="AE228" s="34">
        <f>AB228/AA228</f>
        <v>1.1037394451145959</v>
      </c>
      <c r="AF228" s="35">
        <f>AB228/R228</f>
        <v>1.3821752265861027</v>
      </c>
      <c r="AG228" s="29">
        <f>0.6*Z228+0.4*AA228</f>
        <v>893.8</v>
      </c>
      <c r="AH228" s="54">
        <v>3517</v>
      </c>
      <c r="AI228" s="59">
        <f>AH228/AG228</f>
        <v>3.934884761691654</v>
      </c>
      <c r="AJ228" s="61">
        <f>AI228/AI$488</f>
        <v>0.83618003540371943</v>
      </c>
    </row>
    <row r="229" spans="1:36" ht="15" customHeight="1" x14ac:dyDescent="0.2">
      <c r="A229" s="28" t="s">
        <v>137</v>
      </c>
      <c r="B229" s="28"/>
      <c r="C229" s="28" t="s">
        <v>117</v>
      </c>
      <c r="D229" s="28">
        <v>3</v>
      </c>
      <c r="E229" s="27"/>
      <c r="F229" s="27"/>
      <c r="G229" s="27" t="s">
        <v>138</v>
      </c>
      <c r="H229" s="27">
        <v>9</v>
      </c>
      <c r="I229" s="27" t="s">
        <v>619</v>
      </c>
      <c r="J229" s="27">
        <v>9</v>
      </c>
      <c r="K229" s="27">
        <v>3</v>
      </c>
      <c r="L229" s="27">
        <v>22</v>
      </c>
      <c r="M229" s="29">
        <v>13</v>
      </c>
      <c r="N229" s="30">
        <v>14</v>
      </c>
      <c r="O229" s="30">
        <v>30</v>
      </c>
      <c r="P229" s="30">
        <v>0</v>
      </c>
      <c r="Q229" s="30">
        <v>44</v>
      </c>
      <c r="R229" s="30">
        <v>74</v>
      </c>
      <c r="S229" s="31">
        <f>R229/N229</f>
        <v>5.2857142857142856</v>
      </c>
      <c r="T229" s="32">
        <f>O229/R229</f>
        <v>0.40540540540540543</v>
      </c>
      <c r="U229" s="32">
        <f>P229/R229</f>
        <v>0</v>
      </c>
      <c r="V229" s="32">
        <f>Q229/R229</f>
        <v>0.59459459459459463</v>
      </c>
      <c r="W229" s="31">
        <f>P229/O229</f>
        <v>0</v>
      </c>
      <c r="X229" s="31">
        <f>Q229/(O229+P229)</f>
        <v>1.4666666666666666</v>
      </c>
      <c r="Y229" s="65">
        <f>R229/R$488</f>
        <v>2.1496692704777785E-4</v>
      </c>
      <c r="Z229" s="30">
        <v>75</v>
      </c>
      <c r="AA229" s="30">
        <v>96</v>
      </c>
      <c r="AB229" s="29">
        <v>100</v>
      </c>
      <c r="AC229" s="34">
        <f>Z229/R229</f>
        <v>1.0135135135135136</v>
      </c>
      <c r="AD229" s="34">
        <f>AA229/Z229</f>
        <v>1.28</v>
      </c>
      <c r="AE229" s="34">
        <f>AB229/AA229</f>
        <v>1.0416666666666667</v>
      </c>
      <c r="AF229" s="35">
        <f>AB229/R229</f>
        <v>1.3513513513513513</v>
      </c>
      <c r="AG229" s="29">
        <f>0.6*Z229+0.4*AA229</f>
        <v>83.4</v>
      </c>
      <c r="AH229" s="54">
        <v>370</v>
      </c>
      <c r="AI229" s="59">
        <f>AH229/AG229</f>
        <v>4.4364508393285371</v>
      </c>
      <c r="AJ229" s="61">
        <f>AI229/AI$488</f>
        <v>0.94276499683354509</v>
      </c>
    </row>
    <row r="230" spans="1:36" ht="15" customHeight="1" x14ac:dyDescent="0.2">
      <c r="A230" s="27" t="s">
        <v>21</v>
      </c>
      <c r="B230" s="27"/>
      <c r="C230" s="27" t="s">
        <v>110</v>
      </c>
      <c r="D230" s="27">
        <v>26</v>
      </c>
      <c r="E230" s="27"/>
      <c r="F230" s="27"/>
      <c r="G230" s="27" t="s">
        <v>26</v>
      </c>
      <c r="H230" s="27">
        <v>24</v>
      </c>
      <c r="I230" s="27" t="s">
        <v>624</v>
      </c>
      <c r="J230" s="27">
        <v>4</v>
      </c>
      <c r="K230" s="27">
        <v>4</v>
      </c>
      <c r="L230" s="27">
        <v>43</v>
      </c>
      <c r="M230" s="29">
        <v>59</v>
      </c>
      <c r="N230" s="30">
        <v>62</v>
      </c>
      <c r="O230" s="30">
        <v>164</v>
      </c>
      <c r="P230" s="30">
        <v>97</v>
      </c>
      <c r="Q230" s="30">
        <v>98</v>
      </c>
      <c r="R230" s="30">
        <v>359</v>
      </c>
      <c r="S230" s="31">
        <f>R230/N230</f>
        <v>5.790322580645161</v>
      </c>
      <c r="T230" s="32">
        <f>O230/R230</f>
        <v>0.45682451253481893</v>
      </c>
      <c r="U230" s="32">
        <f>P230/R230</f>
        <v>0.27019498607242337</v>
      </c>
      <c r="V230" s="32">
        <f>Q230/R230</f>
        <v>0.27298050139275765</v>
      </c>
      <c r="W230" s="31">
        <f>P230/O230</f>
        <v>0.59146341463414631</v>
      </c>
      <c r="X230" s="31">
        <f>Q230/(O230+P230)</f>
        <v>0.37547892720306514</v>
      </c>
      <c r="Y230" s="65">
        <f>R230/R$488</f>
        <v>1.0428800920290844E-3</v>
      </c>
      <c r="Z230" s="30">
        <v>360</v>
      </c>
      <c r="AA230" s="30">
        <v>410</v>
      </c>
      <c r="AB230" s="29">
        <v>369</v>
      </c>
      <c r="AC230" s="34">
        <f>Z230/R230</f>
        <v>1.0027855153203342</v>
      </c>
      <c r="AD230" s="34">
        <f>AA230/Z230</f>
        <v>1.1388888888888888</v>
      </c>
      <c r="AE230" s="34">
        <f>AB230/AA230</f>
        <v>0.9</v>
      </c>
      <c r="AF230" s="35">
        <f>AB230/R230</f>
        <v>1.0278551532033426</v>
      </c>
      <c r="AG230" s="29">
        <f>0.6*Z230+0.4*AA230</f>
        <v>380</v>
      </c>
      <c r="AH230" s="54">
        <v>1634</v>
      </c>
      <c r="AI230" s="59">
        <f>AH230/AG230</f>
        <v>4.3</v>
      </c>
      <c r="AJ230" s="61">
        <f>AI230/AI$488</f>
        <v>0.91376860314715114</v>
      </c>
    </row>
    <row r="231" spans="1:36" ht="15" customHeight="1" x14ac:dyDescent="0.2">
      <c r="A231" s="28" t="s">
        <v>138</v>
      </c>
      <c r="B231" s="28"/>
      <c r="C231" s="28" t="s">
        <v>117</v>
      </c>
      <c r="D231" s="28">
        <v>3</v>
      </c>
      <c r="E231" s="27" t="s">
        <v>420</v>
      </c>
      <c r="F231" s="27"/>
      <c r="G231" s="27" t="s">
        <v>138</v>
      </c>
      <c r="H231" s="27">
        <v>9</v>
      </c>
      <c r="I231" s="27" t="s">
        <v>619</v>
      </c>
      <c r="J231" s="27">
        <v>9</v>
      </c>
      <c r="K231" s="27">
        <v>3</v>
      </c>
      <c r="L231" s="27">
        <v>21</v>
      </c>
      <c r="M231" s="29">
        <v>192</v>
      </c>
      <c r="N231" s="30">
        <v>223</v>
      </c>
      <c r="O231" s="30">
        <v>235</v>
      </c>
      <c r="P231" s="30">
        <v>93</v>
      </c>
      <c r="Q231" s="30">
        <v>717</v>
      </c>
      <c r="R231" s="30">
        <v>1045</v>
      </c>
      <c r="S231" s="31">
        <f>R231/N231</f>
        <v>4.6860986547085206</v>
      </c>
      <c r="T231" s="32">
        <f>O231/R231</f>
        <v>0.22488038277511962</v>
      </c>
      <c r="U231" s="32">
        <f>P231/R231</f>
        <v>8.899521531100478E-2</v>
      </c>
      <c r="V231" s="32">
        <f>Q231/R231</f>
        <v>0.68612440191387558</v>
      </c>
      <c r="W231" s="31">
        <f>P231/O231</f>
        <v>0.39574468085106385</v>
      </c>
      <c r="X231" s="31">
        <f>Q231/(O231+P231)</f>
        <v>2.1859756097560976</v>
      </c>
      <c r="Y231" s="65">
        <f>R231/R$488</f>
        <v>3.0356816049314575E-3</v>
      </c>
      <c r="Z231" s="30">
        <v>1206</v>
      </c>
      <c r="AA231" s="30">
        <v>1440</v>
      </c>
      <c r="AB231" s="29">
        <v>1628</v>
      </c>
      <c r="AC231" s="34">
        <f>Z231/R231</f>
        <v>1.1540669856459329</v>
      </c>
      <c r="AD231" s="34">
        <f>AA231/Z231</f>
        <v>1.1940298507462686</v>
      </c>
      <c r="AE231" s="34">
        <f>AB231/AA231</f>
        <v>1.1305555555555555</v>
      </c>
      <c r="AF231" s="35">
        <f>AB231/R231</f>
        <v>1.5578947368421052</v>
      </c>
      <c r="AG231" s="29">
        <f>0.6*Z231+0.4*AA231</f>
        <v>1299.5999999999999</v>
      </c>
      <c r="AH231" s="54">
        <v>5724</v>
      </c>
      <c r="AI231" s="59">
        <f>AH231/AG231</f>
        <v>4.4044321329639891</v>
      </c>
      <c r="AJ231" s="61">
        <f>AI231/AI$488</f>
        <v>0.93596088320812365</v>
      </c>
    </row>
    <row r="232" spans="1:36" ht="15" customHeight="1" x14ac:dyDescent="0.2">
      <c r="A232" s="27" t="s">
        <v>433</v>
      </c>
      <c r="B232" s="27"/>
      <c r="C232" s="27" t="s">
        <v>117</v>
      </c>
      <c r="D232" s="27">
        <v>3</v>
      </c>
      <c r="E232" s="27"/>
      <c r="F232" s="27"/>
      <c r="G232" s="27" t="s">
        <v>4</v>
      </c>
      <c r="H232" s="27">
        <v>14</v>
      </c>
      <c r="I232" s="27" t="s">
        <v>622</v>
      </c>
      <c r="J232" s="27">
        <v>8</v>
      </c>
      <c r="K232" s="27">
        <v>2</v>
      </c>
      <c r="L232" s="27">
        <v>42</v>
      </c>
      <c r="M232" s="29">
        <v>11</v>
      </c>
      <c r="N232" s="30">
        <v>14</v>
      </c>
      <c r="O232" s="30">
        <v>55</v>
      </c>
      <c r="P232" s="30">
        <v>1</v>
      </c>
      <c r="Q232" s="30">
        <v>10</v>
      </c>
      <c r="R232" s="30">
        <v>66</v>
      </c>
      <c r="S232" s="31">
        <f>R232/N232</f>
        <v>4.7142857142857144</v>
      </c>
      <c r="T232" s="32">
        <f>O232/R232</f>
        <v>0.83333333333333337</v>
      </c>
      <c r="U232" s="32">
        <f>P232/R232</f>
        <v>1.5151515151515152E-2</v>
      </c>
      <c r="V232" s="32">
        <f>Q232/R232</f>
        <v>0.15151515151515152</v>
      </c>
      <c r="W232" s="31">
        <f>P232/O232</f>
        <v>1.8181818181818181E-2</v>
      </c>
      <c r="X232" s="31">
        <f>Q232/(O232+P232)</f>
        <v>0.17857142857142858</v>
      </c>
      <c r="Y232" s="65">
        <f>R232/R$488</f>
        <v>1.9172725925882889E-4</v>
      </c>
      <c r="Z232" s="30">
        <v>69</v>
      </c>
      <c r="AA232" s="30">
        <v>66</v>
      </c>
      <c r="AB232" s="29">
        <v>72</v>
      </c>
      <c r="AC232" s="34">
        <f>Z232/R232</f>
        <v>1.0454545454545454</v>
      </c>
      <c r="AD232" s="34">
        <f>AA232/Z232</f>
        <v>0.95652173913043481</v>
      </c>
      <c r="AE232" s="34">
        <f>AB232/AA232</f>
        <v>1.0909090909090908</v>
      </c>
      <c r="AF232" s="35">
        <f>AB232/R232</f>
        <v>1.0909090909090908</v>
      </c>
      <c r="AG232" s="29">
        <f>0.6*Z232+0.4*AA232</f>
        <v>67.8</v>
      </c>
      <c r="AH232" s="54">
        <v>432</v>
      </c>
      <c r="AI232" s="59">
        <f>AH232/AG232</f>
        <v>6.3716814159292037</v>
      </c>
      <c r="AJ232" s="61">
        <f>AI232/AI$488</f>
        <v>1.3540098667749514</v>
      </c>
    </row>
    <row r="233" spans="1:36" ht="15" customHeight="1" x14ac:dyDescent="0.2">
      <c r="A233" s="27" t="s">
        <v>336</v>
      </c>
      <c r="B233" s="27">
        <v>1</v>
      </c>
      <c r="C233" s="27" t="s">
        <v>323</v>
      </c>
      <c r="D233" s="27">
        <v>1</v>
      </c>
      <c r="E233" s="27" t="s">
        <v>420</v>
      </c>
      <c r="F233" s="27"/>
      <c r="G233" s="27" t="s">
        <v>336</v>
      </c>
      <c r="H233" s="27">
        <v>10</v>
      </c>
      <c r="I233" s="27" t="s">
        <v>618</v>
      </c>
      <c r="J233" s="27">
        <v>6</v>
      </c>
      <c r="K233" s="27">
        <v>7</v>
      </c>
      <c r="L233" s="27">
        <v>15</v>
      </c>
      <c r="M233" s="29">
        <v>546</v>
      </c>
      <c r="N233" s="30">
        <v>563</v>
      </c>
      <c r="O233" s="30">
        <v>141</v>
      </c>
      <c r="P233" s="30">
        <v>1250</v>
      </c>
      <c r="Q233" s="30">
        <v>986</v>
      </c>
      <c r="R233" s="30">
        <v>2377</v>
      </c>
      <c r="S233" s="31">
        <f>R233/N233</f>
        <v>4.2220248667850795</v>
      </c>
      <c r="T233" s="32">
        <f>O233/R233</f>
        <v>5.9318468657972231E-2</v>
      </c>
      <c r="U233" s="32">
        <f>P233/R233</f>
        <v>0.52587294909549853</v>
      </c>
      <c r="V233" s="32">
        <f>Q233/R233</f>
        <v>0.41480858224652922</v>
      </c>
      <c r="W233" s="31">
        <f>P233/O233</f>
        <v>8.8652482269503547</v>
      </c>
      <c r="X233" s="31">
        <f>Q233/(O233+P233)</f>
        <v>0.70884255930984907</v>
      </c>
      <c r="Y233" s="65">
        <f>R233/R$488</f>
        <v>6.9050862917914586E-3</v>
      </c>
      <c r="Z233" s="30">
        <v>2735</v>
      </c>
      <c r="AA233" s="30">
        <v>3296</v>
      </c>
      <c r="AB233" s="29">
        <v>3509</v>
      </c>
      <c r="AC233" s="34">
        <f>Z233/R233</f>
        <v>1.1506100126209509</v>
      </c>
      <c r="AD233" s="34">
        <f>AA233/Z233</f>
        <v>1.2051188299817184</v>
      </c>
      <c r="AE233" s="34">
        <f>AB233/AA233</f>
        <v>1.064623786407767</v>
      </c>
      <c r="AF233" s="35">
        <f>AB233/R233</f>
        <v>1.4762305427008835</v>
      </c>
      <c r="AG233" s="29">
        <f>0.6*Z233+0.4*AA233</f>
        <v>2959.4</v>
      </c>
      <c r="AH233" s="54">
        <v>10698</v>
      </c>
      <c r="AI233" s="59">
        <f>AH233/AG233</f>
        <v>3.6149219436372237</v>
      </c>
      <c r="AJ233" s="61">
        <f>AI233/AI$488</f>
        <v>0.76818655230776067</v>
      </c>
    </row>
    <row r="234" spans="1:36" ht="15" customHeight="1" x14ac:dyDescent="0.2">
      <c r="A234" s="27" t="s">
        <v>378</v>
      </c>
      <c r="B234" s="27"/>
      <c r="C234" s="27" t="s">
        <v>327</v>
      </c>
      <c r="D234" s="27">
        <v>12</v>
      </c>
      <c r="E234" s="27"/>
      <c r="F234" s="27"/>
      <c r="G234" s="27" t="s">
        <v>350</v>
      </c>
      <c r="H234" s="27">
        <v>2</v>
      </c>
      <c r="I234" s="27" t="s">
        <v>620</v>
      </c>
      <c r="J234" s="27">
        <v>10</v>
      </c>
      <c r="K234" s="27">
        <v>1</v>
      </c>
      <c r="L234" s="27">
        <v>31</v>
      </c>
      <c r="M234" s="29">
        <v>20</v>
      </c>
      <c r="N234" s="30">
        <v>20</v>
      </c>
      <c r="O234" s="30">
        <v>29</v>
      </c>
      <c r="P234" s="30">
        <v>2</v>
      </c>
      <c r="Q234" s="30">
        <v>72</v>
      </c>
      <c r="R234" s="30">
        <v>103</v>
      </c>
      <c r="S234" s="31">
        <f>R234/N234</f>
        <v>5.15</v>
      </c>
      <c r="T234" s="32">
        <f>O234/R234</f>
        <v>0.28155339805825241</v>
      </c>
      <c r="U234" s="32">
        <f>P234/R234</f>
        <v>1.9417475728155338E-2</v>
      </c>
      <c r="V234" s="32">
        <f>Q234/R234</f>
        <v>0.69902912621359226</v>
      </c>
      <c r="W234" s="31">
        <f>P234/O234</f>
        <v>6.8965517241379309E-2</v>
      </c>
      <c r="X234" s="31">
        <f>Q234/(O234+P234)</f>
        <v>2.3225806451612905</v>
      </c>
      <c r="Y234" s="65">
        <f>R234/R$488</f>
        <v>2.9921072278271779E-4</v>
      </c>
      <c r="Z234" s="30">
        <v>100</v>
      </c>
      <c r="AA234" s="30">
        <v>144</v>
      </c>
      <c r="AB234" s="29">
        <v>130</v>
      </c>
      <c r="AC234" s="34">
        <f>Z234/R234</f>
        <v>0.970873786407767</v>
      </c>
      <c r="AD234" s="34">
        <f>AA234/Z234</f>
        <v>1.44</v>
      </c>
      <c r="AE234" s="34">
        <f>AB234/AA234</f>
        <v>0.90277777777777779</v>
      </c>
      <c r="AF234" s="35">
        <f>AB234/R234</f>
        <v>1.2621359223300972</v>
      </c>
      <c r="AG234" s="29">
        <f>0.6*Z234+0.4*AA234</f>
        <v>117.6</v>
      </c>
      <c r="AH234" s="54">
        <v>906</v>
      </c>
      <c r="AI234" s="59">
        <f>AH234/AG234</f>
        <v>7.7040816326530619</v>
      </c>
      <c r="AJ234" s="61">
        <f>AI234/AI$488</f>
        <v>1.6371506772095377</v>
      </c>
    </row>
    <row r="235" spans="1:36" ht="15" customHeight="1" x14ac:dyDescent="0.2">
      <c r="A235" s="28" t="s">
        <v>264</v>
      </c>
      <c r="B235" s="28"/>
      <c r="C235" s="28" t="s">
        <v>123</v>
      </c>
      <c r="D235" s="28">
        <v>23</v>
      </c>
      <c r="E235" s="27"/>
      <c r="F235" s="27"/>
      <c r="G235" s="27" t="s">
        <v>427</v>
      </c>
      <c r="H235" s="27">
        <v>23</v>
      </c>
      <c r="I235" s="27" t="s">
        <v>619</v>
      </c>
      <c r="J235" s="27">
        <v>9</v>
      </c>
      <c r="K235" s="27">
        <v>2</v>
      </c>
      <c r="L235" s="27">
        <v>38</v>
      </c>
      <c r="M235" s="29">
        <v>15</v>
      </c>
      <c r="N235" s="30">
        <v>15</v>
      </c>
      <c r="O235" s="30">
        <v>31</v>
      </c>
      <c r="P235" s="30">
        <v>4</v>
      </c>
      <c r="Q235" s="40">
        <v>62</v>
      </c>
      <c r="R235" s="30">
        <v>97</v>
      </c>
      <c r="S235" s="31">
        <f>R235/N235</f>
        <v>6.4666666666666668</v>
      </c>
      <c r="T235" s="32">
        <f>O235/R235</f>
        <v>0.31958762886597936</v>
      </c>
      <c r="U235" s="32">
        <f>P235/R235</f>
        <v>4.1237113402061855E-2</v>
      </c>
      <c r="V235" s="32">
        <f>Q235/R235</f>
        <v>0.63917525773195871</v>
      </c>
      <c r="W235" s="31">
        <f>P235/O235</f>
        <v>0.12903225806451613</v>
      </c>
      <c r="X235" s="31">
        <f>Q235/(O235+P235)</f>
        <v>1.7714285714285714</v>
      </c>
      <c r="Y235" s="65">
        <f>R235/R$488</f>
        <v>2.8178097194100611E-4</v>
      </c>
      <c r="Z235" s="30">
        <v>136</v>
      </c>
      <c r="AA235" s="30">
        <v>118</v>
      </c>
      <c r="AB235" s="29">
        <v>131</v>
      </c>
      <c r="AC235" s="34">
        <f>Z235/R235</f>
        <v>1.402061855670103</v>
      </c>
      <c r="AD235" s="34">
        <f>AA235/Z235</f>
        <v>0.86764705882352944</v>
      </c>
      <c r="AE235" s="34">
        <f>AB235/AA235</f>
        <v>1.1101694915254237</v>
      </c>
      <c r="AF235" s="35">
        <f>AB235/R235</f>
        <v>1.3505154639175259</v>
      </c>
      <c r="AG235" s="29">
        <f>0.6*Z235+0.4*AA235</f>
        <v>128.80000000000001</v>
      </c>
      <c r="AH235" s="54">
        <v>1025</v>
      </c>
      <c r="AI235" s="59">
        <f>AH235/AG235</f>
        <v>7.95807453416149</v>
      </c>
      <c r="AJ235" s="61">
        <f>AI235/AI$488</f>
        <v>1.6911252676329442</v>
      </c>
    </row>
    <row r="236" spans="1:36" ht="15" customHeight="1" x14ac:dyDescent="0.2">
      <c r="A236" s="27" t="s">
        <v>405</v>
      </c>
      <c r="B236" s="27"/>
      <c r="C236" s="27" t="s">
        <v>333</v>
      </c>
      <c r="D236" s="27">
        <v>29</v>
      </c>
      <c r="E236" s="27"/>
      <c r="F236" s="27"/>
      <c r="G236" s="27" t="s">
        <v>333</v>
      </c>
      <c r="H236" s="27">
        <v>22</v>
      </c>
      <c r="I236" s="27" t="s">
        <v>621</v>
      </c>
      <c r="J236" s="27">
        <v>7</v>
      </c>
      <c r="K236" s="27">
        <v>2</v>
      </c>
      <c r="L236" s="27">
        <v>43</v>
      </c>
      <c r="M236" s="29">
        <v>23</v>
      </c>
      <c r="N236" s="30">
        <v>23</v>
      </c>
      <c r="O236" s="30">
        <v>100</v>
      </c>
      <c r="P236" s="30">
        <v>20</v>
      </c>
      <c r="Q236" s="30">
        <v>38</v>
      </c>
      <c r="R236" s="30">
        <v>158</v>
      </c>
      <c r="S236" s="31">
        <f>R236/N236</f>
        <v>6.8695652173913047</v>
      </c>
      <c r="T236" s="32">
        <f>O236/R236</f>
        <v>0.63291139240506333</v>
      </c>
      <c r="U236" s="32">
        <f>P236/R236</f>
        <v>0.12658227848101267</v>
      </c>
      <c r="V236" s="32">
        <f>Q236/R236</f>
        <v>0.24050632911392406</v>
      </c>
      <c r="W236" s="31">
        <f>P236/O236</f>
        <v>0.2</v>
      </c>
      <c r="X236" s="31">
        <f>Q236/(O236+P236)</f>
        <v>0.31666666666666665</v>
      </c>
      <c r="Y236" s="65">
        <f>R236/R$488</f>
        <v>4.5898343883174188E-4</v>
      </c>
      <c r="Z236" s="30">
        <v>163</v>
      </c>
      <c r="AA236" s="30">
        <v>153</v>
      </c>
      <c r="AB236" s="29">
        <v>170</v>
      </c>
      <c r="AC236" s="34">
        <f>Z236/R236</f>
        <v>1.0316455696202531</v>
      </c>
      <c r="AD236" s="34">
        <f>AA236/Z236</f>
        <v>0.93865030674846628</v>
      </c>
      <c r="AE236" s="34">
        <f>AB236/AA236</f>
        <v>1.1111111111111112</v>
      </c>
      <c r="AF236" s="35">
        <f>AB236/R236</f>
        <v>1.0759493670886076</v>
      </c>
      <c r="AG236" s="29">
        <f>0.6*Z236+0.4*AA236</f>
        <v>159</v>
      </c>
      <c r="AH236" s="54">
        <v>1378</v>
      </c>
      <c r="AI236" s="59">
        <f>AH236/AG236</f>
        <v>8.6666666666666661</v>
      </c>
      <c r="AJ236" s="61">
        <f>AI236/AI$488</f>
        <v>1.841704161381855</v>
      </c>
    </row>
    <row r="237" spans="1:36" ht="15" customHeight="1" x14ac:dyDescent="0.2">
      <c r="A237" s="27" t="s">
        <v>379</v>
      </c>
      <c r="B237" s="27"/>
      <c r="C237" s="27" t="s">
        <v>327</v>
      </c>
      <c r="D237" s="27">
        <v>12</v>
      </c>
      <c r="E237" s="27"/>
      <c r="F237" s="27"/>
      <c r="G237" s="27" t="s">
        <v>350</v>
      </c>
      <c r="H237" s="27">
        <v>2</v>
      </c>
      <c r="I237" s="27" t="s">
        <v>619</v>
      </c>
      <c r="J237" s="27">
        <v>9</v>
      </c>
      <c r="K237" s="27">
        <v>1</v>
      </c>
      <c r="L237" s="27">
        <v>30</v>
      </c>
      <c r="M237" s="29">
        <v>35</v>
      </c>
      <c r="N237" s="30">
        <v>35</v>
      </c>
      <c r="O237" s="30">
        <v>39</v>
      </c>
      <c r="P237" s="30">
        <v>8</v>
      </c>
      <c r="Q237" s="40">
        <v>165</v>
      </c>
      <c r="R237" s="30">
        <v>212</v>
      </c>
      <c r="S237" s="31">
        <f>R237/N237</f>
        <v>6.0571428571428569</v>
      </c>
      <c r="T237" s="32">
        <f>O237/R237</f>
        <v>0.18396226415094338</v>
      </c>
      <c r="U237" s="32">
        <f>P237/R237</f>
        <v>3.7735849056603772E-2</v>
      </c>
      <c r="V237" s="32">
        <f>Q237/R237</f>
        <v>0.77830188679245282</v>
      </c>
      <c r="W237" s="31">
        <f>P237/O237</f>
        <v>0.20512820512820512</v>
      </c>
      <c r="X237" s="31">
        <f>Q237/(O237+P237)</f>
        <v>3.5106382978723403</v>
      </c>
      <c r="Y237" s="65">
        <f>R237/R$488</f>
        <v>6.1585119640714732E-4</v>
      </c>
      <c r="Z237" s="30">
        <v>221</v>
      </c>
      <c r="AA237" s="30">
        <v>291</v>
      </c>
      <c r="AB237" s="29">
        <v>312</v>
      </c>
      <c r="AC237" s="34">
        <f>Z237/R237</f>
        <v>1.0424528301886793</v>
      </c>
      <c r="AD237" s="34">
        <f>AA237/Z237</f>
        <v>1.3167420814479638</v>
      </c>
      <c r="AE237" s="34">
        <f>AB237/AA237</f>
        <v>1.0721649484536082</v>
      </c>
      <c r="AF237" s="35">
        <f>AB237/R237</f>
        <v>1.4716981132075471</v>
      </c>
      <c r="AG237" s="29">
        <f>0.6*Z237+0.4*AA237</f>
        <v>249</v>
      </c>
      <c r="AH237" s="54">
        <v>937</v>
      </c>
      <c r="AI237" s="59">
        <f>AH237/AG237</f>
        <v>3.7630522088353415</v>
      </c>
      <c r="AJ237" s="61">
        <f>AI237/AI$488</f>
        <v>0.79966487452029578</v>
      </c>
    </row>
    <row r="238" spans="1:36" ht="15" customHeight="1" x14ac:dyDescent="0.2">
      <c r="A238" s="27" t="s">
        <v>315</v>
      </c>
      <c r="B238" s="27"/>
      <c r="C238" s="27" t="s">
        <v>116</v>
      </c>
      <c r="D238" s="27">
        <v>32</v>
      </c>
      <c r="E238" s="27"/>
      <c r="F238" s="27"/>
      <c r="G238" s="27" t="s">
        <v>172</v>
      </c>
      <c r="H238" s="27">
        <v>1</v>
      </c>
      <c r="I238" s="27" t="s">
        <v>618</v>
      </c>
      <c r="J238" s="27">
        <v>6</v>
      </c>
      <c r="K238" s="27">
        <v>6</v>
      </c>
      <c r="L238" s="27">
        <v>32</v>
      </c>
      <c r="M238" s="29">
        <v>22</v>
      </c>
      <c r="N238" s="30">
        <v>24</v>
      </c>
      <c r="O238" s="30">
        <v>34</v>
      </c>
      <c r="P238" s="30">
        <v>33</v>
      </c>
      <c r="Q238" s="30">
        <v>68</v>
      </c>
      <c r="R238" s="30">
        <v>135</v>
      </c>
      <c r="S238" s="31">
        <f>R238/N238</f>
        <v>5.625</v>
      </c>
      <c r="T238" s="32">
        <f>O238/R238</f>
        <v>0.25185185185185183</v>
      </c>
      <c r="U238" s="32">
        <f>P238/R238</f>
        <v>0.24444444444444444</v>
      </c>
      <c r="V238" s="32">
        <f>Q238/R238</f>
        <v>0.50370370370370365</v>
      </c>
      <c r="W238" s="31">
        <f>P238/O238</f>
        <v>0.97058823529411764</v>
      </c>
      <c r="X238" s="31">
        <f>Q238/(O238+P238)</f>
        <v>1.0149253731343284</v>
      </c>
      <c r="Y238" s="65">
        <f>R238/R$488</f>
        <v>3.9216939393851364E-4</v>
      </c>
      <c r="Z238" s="30">
        <v>139</v>
      </c>
      <c r="AA238" s="30">
        <v>172</v>
      </c>
      <c r="AB238" s="29">
        <v>153</v>
      </c>
      <c r="AC238" s="34">
        <f>Z238/R238</f>
        <v>1.0296296296296297</v>
      </c>
      <c r="AD238" s="34">
        <f>AA238/Z238</f>
        <v>1.2374100719424461</v>
      </c>
      <c r="AE238" s="34">
        <f>AB238/AA238</f>
        <v>0.88953488372093026</v>
      </c>
      <c r="AF238" s="35">
        <f>AB238/R238</f>
        <v>1.1333333333333333</v>
      </c>
      <c r="AG238" s="29">
        <f>0.6*Z238+0.4*AA238</f>
        <v>152.19999999999999</v>
      </c>
      <c r="AH238" s="54">
        <v>1371</v>
      </c>
      <c r="AI238" s="59">
        <f>AH238/AG238</f>
        <v>9.0078843626806844</v>
      </c>
      <c r="AJ238" s="61">
        <f>AI238/AI$488</f>
        <v>1.9142143979994872</v>
      </c>
    </row>
    <row r="239" spans="1:36" ht="15" customHeight="1" x14ac:dyDescent="0.2">
      <c r="A239" s="28" t="s">
        <v>265</v>
      </c>
      <c r="B239" s="28"/>
      <c r="C239" s="28" t="s">
        <v>123</v>
      </c>
      <c r="D239" s="28">
        <v>23</v>
      </c>
      <c r="E239" s="27"/>
      <c r="F239" s="27"/>
      <c r="G239" s="27" t="s">
        <v>427</v>
      </c>
      <c r="H239" s="27">
        <v>23</v>
      </c>
      <c r="I239" s="27" t="s">
        <v>622</v>
      </c>
      <c r="J239" s="27">
        <v>8</v>
      </c>
      <c r="K239" s="27">
        <v>2</v>
      </c>
      <c r="L239" s="27">
        <v>50</v>
      </c>
      <c r="M239" s="29">
        <v>62</v>
      </c>
      <c r="N239" s="30">
        <v>74</v>
      </c>
      <c r="O239" s="30">
        <v>404</v>
      </c>
      <c r="P239" s="30">
        <v>35</v>
      </c>
      <c r="Q239" s="30">
        <v>2</v>
      </c>
      <c r="R239" s="30">
        <v>441</v>
      </c>
      <c r="S239" s="31">
        <f>R239/N239</f>
        <v>5.9594594594594597</v>
      </c>
      <c r="T239" s="32">
        <f>O239/R239</f>
        <v>0.91609977324263037</v>
      </c>
      <c r="U239" s="32">
        <f>P239/R239</f>
        <v>7.9365079365079361E-2</v>
      </c>
      <c r="V239" s="32">
        <f>Q239/R239</f>
        <v>4.5351473922902496E-3</v>
      </c>
      <c r="W239" s="31">
        <f>P239/O239</f>
        <v>8.6633663366336627E-2</v>
      </c>
      <c r="X239" s="31">
        <f>Q239/(O239+P239)</f>
        <v>4.5558086560364463E-3</v>
      </c>
      <c r="Y239" s="65">
        <f>R239/R$488</f>
        <v>1.2810866868658113E-3</v>
      </c>
      <c r="Z239" s="30">
        <v>481</v>
      </c>
      <c r="AA239" s="30">
        <v>482</v>
      </c>
      <c r="AB239" s="29">
        <v>574</v>
      </c>
      <c r="AC239" s="34">
        <f>Z239/R239</f>
        <v>1.090702947845805</v>
      </c>
      <c r="AD239" s="34">
        <f>AA239/Z239</f>
        <v>1.002079002079002</v>
      </c>
      <c r="AE239" s="34">
        <f>AB239/AA239</f>
        <v>1.1908713692946058</v>
      </c>
      <c r="AF239" s="35">
        <f>AB239/R239</f>
        <v>1.3015873015873016</v>
      </c>
      <c r="AG239" s="29">
        <f>0.6*Z239+0.4*AA239</f>
        <v>481.4</v>
      </c>
      <c r="AH239" s="54">
        <v>2049</v>
      </c>
      <c r="AI239" s="59">
        <f>AH239/AG239</f>
        <v>4.2563356875778977</v>
      </c>
      <c r="AJ239" s="61">
        <f>AI239/AI$488</f>
        <v>0.90448974785195924</v>
      </c>
    </row>
    <row r="240" spans="1:36" ht="15" customHeight="1" x14ac:dyDescent="0.2">
      <c r="A240" s="28" t="s">
        <v>49</v>
      </c>
      <c r="B240" s="28"/>
      <c r="C240" s="27" t="s">
        <v>35</v>
      </c>
      <c r="D240" s="27">
        <v>11</v>
      </c>
      <c r="E240" s="27"/>
      <c r="F240" s="27"/>
      <c r="G240" s="27" t="s">
        <v>106</v>
      </c>
      <c r="H240" s="27">
        <v>12</v>
      </c>
      <c r="I240" s="27" t="s">
        <v>111</v>
      </c>
      <c r="J240" s="27">
        <v>5</v>
      </c>
      <c r="K240" s="27">
        <v>6</v>
      </c>
      <c r="L240" s="27">
        <v>34</v>
      </c>
      <c r="M240" s="29">
        <v>123</v>
      </c>
      <c r="N240" s="30">
        <v>123</v>
      </c>
      <c r="O240" s="30">
        <v>482</v>
      </c>
      <c r="P240" s="30">
        <v>25</v>
      </c>
      <c r="Q240" s="30">
        <v>0</v>
      </c>
      <c r="R240" s="30">
        <v>507</v>
      </c>
      <c r="S240" s="31">
        <f>R240/N240</f>
        <v>4.1219512195121952</v>
      </c>
      <c r="T240" s="32">
        <f>O240/R240</f>
        <v>0.95069033530571989</v>
      </c>
      <c r="U240" s="32">
        <f>P240/R240</f>
        <v>4.9309664694280081E-2</v>
      </c>
      <c r="V240" s="32">
        <f>Q240/R240</f>
        <v>0</v>
      </c>
      <c r="W240" s="31">
        <f>P240/O240</f>
        <v>5.1867219917012451E-2</v>
      </c>
      <c r="X240" s="31">
        <f>Q240/(O240+P240)</f>
        <v>0</v>
      </c>
      <c r="Y240" s="65">
        <f>R240/R$488</f>
        <v>1.4728139461246401E-3</v>
      </c>
      <c r="Z240" s="30">
        <v>608</v>
      </c>
      <c r="AA240" s="30">
        <v>724</v>
      </c>
      <c r="AB240" s="29">
        <v>757</v>
      </c>
      <c r="AC240" s="34">
        <f>Z240/R240</f>
        <v>1.1992110453648914</v>
      </c>
      <c r="AD240" s="34">
        <f>AA240/Z240</f>
        <v>1.1907894736842106</v>
      </c>
      <c r="AE240" s="34">
        <f>AB240/AA240</f>
        <v>1.0455801104972375</v>
      </c>
      <c r="AF240" s="35">
        <f>AB240/R240</f>
        <v>1.4930966469428009</v>
      </c>
      <c r="AG240" s="29">
        <f>0.6*Z240+0.4*AA240</f>
        <v>654.40000000000009</v>
      </c>
      <c r="AH240" s="54">
        <v>3052</v>
      </c>
      <c r="AI240" s="59">
        <f>AH240/AG240</f>
        <v>4.6638141809290943</v>
      </c>
      <c r="AJ240" s="61">
        <f>AI240/AI$488</f>
        <v>0.99108069056871007</v>
      </c>
    </row>
    <row r="241" spans="1:36" ht="15" customHeight="1" x14ac:dyDescent="0.2">
      <c r="A241" s="28" t="s">
        <v>289</v>
      </c>
      <c r="B241" s="28"/>
      <c r="C241" s="28" t="s">
        <v>111</v>
      </c>
      <c r="D241" s="28">
        <v>28</v>
      </c>
      <c r="E241" s="27"/>
      <c r="F241" s="27"/>
      <c r="G241" s="27" t="s">
        <v>426</v>
      </c>
      <c r="H241" s="27">
        <v>13</v>
      </c>
      <c r="I241" s="27" t="s">
        <v>111</v>
      </c>
      <c r="J241" s="27">
        <v>5</v>
      </c>
      <c r="K241" s="27">
        <v>6</v>
      </c>
      <c r="L241" s="27">
        <v>33</v>
      </c>
      <c r="M241" s="29">
        <v>71</v>
      </c>
      <c r="N241" s="30">
        <v>71</v>
      </c>
      <c r="O241" s="30">
        <v>30</v>
      </c>
      <c r="P241" s="30">
        <v>12</v>
      </c>
      <c r="Q241" s="30">
        <v>297</v>
      </c>
      <c r="R241" s="30">
        <v>339</v>
      </c>
      <c r="S241" s="31">
        <f>R241/N241</f>
        <v>4.774647887323944</v>
      </c>
      <c r="T241" s="32">
        <f>O241/R241</f>
        <v>8.8495575221238937E-2</v>
      </c>
      <c r="U241" s="32">
        <f>P241/R241</f>
        <v>3.5398230088495575E-2</v>
      </c>
      <c r="V241" s="32">
        <f>Q241/R241</f>
        <v>0.87610619469026552</v>
      </c>
      <c r="W241" s="31">
        <f>P241/O241</f>
        <v>0.4</v>
      </c>
      <c r="X241" s="31">
        <f>Q241/(O241+P241)</f>
        <v>7.0714285714285712</v>
      </c>
      <c r="Y241" s="65">
        <f>R241/R$488</f>
        <v>9.84780922556712E-4</v>
      </c>
      <c r="Z241" s="30">
        <v>348</v>
      </c>
      <c r="AA241" s="30">
        <v>356</v>
      </c>
      <c r="AB241" s="29">
        <v>381</v>
      </c>
      <c r="AC241" s="34">
        <f>Z241/R241</f>
        <v>1.0265486725663717</v>
      </c>
      <c r="AD241" s="34">
        <f>AA241/Z241</f>
        <v>1.0229885057471264</v>
      </c>
      <c r="AE241" s="34">
        <f>AB241/AA241</f>
        <v>1.0702247191011236</v>
      </c>
      <c r="AF241" s="35">
        <f>AB241/R241</f>
        <v>1.1238938053097345</v>
      </c>
      <c r="AG241" s="29">
        <f>0.6*Z241+0.4*AA241</f>
        <v>351.2</v>
      </c>
      <c r="AH241" s="54">
        <v>1790</v>
      </c>
      <c r="AI241" s="59">
        <f>AH241/AG241</f>
        <v>5.096810933940775</v>
      </c>
      <c r="AJ241" s="61">
        <f>AI241/AI$488</f>
        <v>1.0830943738632999</v>
      </c>
    </row>
    <row r="242" spans="1:36" ht="15" customHeight="1" x14ac:dyDescent="0.2">
      <c r="A242" s="27" t="s">
        <v>361</v>
      </c>
      <c r="B242" s="27"/>
      <c r="C242" s="27" t="s">
        <v>325</v>
      </c>
      <c r="D242" s="27">
        <v>4</v>
      </c>
      <c r="E242" s="27" t="s">
        <v>420</v>
      </c>
      <c r="F242" s="27"/>
      <c r="G242" s="27" t="s">
        <v>331</v>
      </c>
      <c r="H242" s="27">
        <v>17</v>
      </c>
      <c r="I242" s="27" t="s">
        <v>620</v>
      </c>
      <c r="J242" s="27">
        <v>10</v>
      </c>
      <c r="K242" s="27">
        <v>1</v>
      </c>
      <c r="L242" s="27">
        <v>34</v>
      </c>
      <c r="M242" s="29">
        <v>435</v>
      </c>
      <c r="N242" s="30">
        <v>435</v>
      </c>
      <c r="O242" s="30">
        <v>751</v>
      </c>
      <c r="P242" s="30">
        <v>120</v>
      </c>
      <c r="Q242" s="30">
        <v>967</v>
      </c>
      <c r="R242" s="30">
        <v>1838</v>
      </c>
      <c r="S242" s="31">
        <f>R242/N242</f>
        <v>4.2252873563218394</v>
      </c>
      <c r="T242" s="32">
        <f>O242/R242</f>
        <v>0.40859630032644179</v>
      </c>
      <c r="U242" s="32">
        <f>P242/R242</f>
        <v>6.5288356909684445E-2</v>
      </c>
      <c r="V242" s="32">
        <f>Q242/R242</f>
        <v>0.52611534276387373</v>
      </c>
      <c r="W242" s="31">
        <f>P242/O242</f>
        <v>0.15978695073235685</v>
      </c>
      <c r="X242" s="31">
        <f>Q242/(O242+P242)</f>
        <v>1.1102181400688864</v>
      </c>
      <c r="Y242" s="65">
        <f>R242/R$488</f>
        <v>5.3393136745110226E-3</v>
      </c>
      <c r="Z242" s="30">
        <v>1934</v>
      </c>
      <c r="AA242" s="30">
        <v>2622</v>
      </c>
      <c r="AB242" s="29">
        <v>3201</v>
      </c>
      <c r="AC242" s="34">
        <f>Z242/R242</f>
        <v>1.0522306855277475</v>
      </c>
      <c r="AD242" s="34">
        <f>AA242/Z242</f>
        <v>1.3557394002068253</v>
      </c>
      <c r="AE242" s="34">
        <f>AB242/AA242</f>
        <v>1.2208237986270023</v>
      </c>
      <c r="AF242" s="35">
        <f>AB242/R242</f>
        <v>1.7415669205658324</v>
      </c>
      <c r="AG242" s="29">
        <f>0.6*Z242+0.4*AA242</f>
        <v>2209.1999999999998</v>
      </c>
      <c r="AH242" s="54">
        <v>7547</v>
      </c>
      <c r="AI242" s="59">
        <f>AH242/AG242</f>
        <v>3.416168748868369</v>
      </c>
      <c r="AJ242" s="61">
        <f>AI242/AI$488</f>
        <v>0.72595063855079078</v>
      </c>
    </row>
    <row r="243" spans="1:36" ht="15" customHeight="1" x14ac:dyDescent="0.2">
      <c r="A243" s="27" t="s">
        <v>9</v>
      </c>
      <c r="B243" s="27"/>
      <c r="C243" s="27" t="s">
        <v>111</v>
      </c>
      <c r="D243" s="28">
        <v>28</v>
      </c>
      <c r="E243" s="27"/>
      <c r="F243" s="27"/>
      <c r="G243" s="27" t="s">
        <v>426</v>
      </c>
      <c r="H243" s="27">
        <v>13</v>
      </c>
      <c r="I243" s="27" t="s">
        <v>111</v>
      </c>
      <c r="J243" s="27">
        <v>5</v>
      </c>
      <c r="K243" s="27">
        <v>4</v>
      </c>
      <c r="L243" s="27">
        <v>48</v>
      </c>
      <c r="M243" s="29">
        <v>164</v>
      </c>
      <c r="N243" s="30">
        <v>174</v>
      </c>
      <c r="O243" s="30">
        <v>449</v>
      </c>
      <c r="P243" s="30">
        <v>373</v>
      </c>
      <c r="Q243" s="30">
        <v>44</v>
      </c>
      <c r="R243" s="30">
        <v>866</v>
      </c>
      <c r="S243" s="31">
        <f>R243/N243</f>
        <v>4.9770114942528734</v>
      </c>
      <c r="T243" s="32">
        <f>O243/R243</f>
        <v>0.51847575057736717</v>
      </c>
      <c r="U243" s="32">
        <f>P243/R243</f>
        <v>0.43071593533487296</v>
      </c>
      <c r="V243" s="32">
        <f>Q243/R243</f>
        <v>5.0808314087759814E-2</v>
      </c>
      <c r="W243" s="31">
        <f>P243/O243</f>
        <v>0.83073496659242763</v>
      </c>
      <c r="X243" s="31">
        <f>Q243/(O243+P243)</f>
        <v>5.3527980535279802E-2</v>
      </c>
      <c r="Y243" s="65">
        <f>R243/R$488</f>
        <v>2.5156940381537247E-3</v>
      </c>
      <c r="Z243" s="30">
        <v>861</v>
      </c>
      <c r="AA243" s="30">
        <v>1122</v>
      </c>
      <c r="AB243" s="29">
        <v>1298</v>
      </c>
      <c r="AC243" s="34">
        <f>Z243/R243</f>
        <v>0.99422632794457277</v>
      </c>
      <c r="AD243" s="34">
        <f>AA243/Z243</f>
        <v>1.3031358885017421</v>
      </c>
      <c r="AE243" s="34">
        <f>AB243/AA243</f>
        <v>1.1568627450980393</v>
      </c>
      <c r="AF243" s="35">
        <f>AB243/R243</f>
        <v>1.4988452655889146</v>
      </c>
      <c r="AG243" s="29">
        <f>0.6*Z243+0.4*AA243</f>
        <v>965.40000000000009</v>
      </c>
      <c r="AH243" s="54">
        <v>4029</v>
      </c>
      <c r="AI243" s="59">
        <f>AH243/AG243</f>
        <v>4.1733996270975755</v>
      </c>
      <c r="AJ243" s="61">
        <f>AI243/AI$488</f>
        <v>0.88686547619250999</v>
      </c>
    </row>
    <row r="244" spans="1:36" ht="15" customHeight="1" x14ac:dyDescent="0.2">
      <c r="A244" s="27" t="s">
        <v>380</v>
      </c>
      <c r="B244" s="27"/>
      <c r="C244" s="27" t="s">
        <v>327</v>
      </c>
      <c r="D244" s="27">
        <v>12</v>
      </c>
      <c r="E244" s="27"/>
      <c r="F244" s="27"/>
      <c r="G244" s="27" t="s">
        <v>350</v>
      </c>
      <c r="H244" s="27">
        <v>2</v>
      </c>
      <c r="I244" s="27" t="s">
        <v>620</v>
      </c>
      <c r="J244" s="27">
        <v>10</v>
      </c>
      <c r="K244" s="27">
        <v>1</v>
      </c>
      <c r="L244" s="27">
        <v>33</v>
      </c>
      <c r="M244" s="29">
        <v>70</v>
      </c>
      <c r="N244" s="30">
        <v>80</v>
      </c>
      <c r="O244" s="30">
        <v>49</v>
      </c>
      <c r="P244" s="30">
        <v>39</v>
      </c>
      <c r="Q244" s="30">
        <v>259</v>
      </c>
      <c r="R244" s="30">
        <v>347</v>
      </c>
      <c r="S244" s="31">
        <f>R244/N244</f>
        <v>4.3375000000000004</v>
      </c>
      <c r="T244" s="32">
        <f>O244/R244</f>
        <v>0.14121037463976946</v>
      </c>
      <c r="U244" s="32">
        <f>P244/R244</f>
        <v>0.11239193083573487</v>
      </c>
      <c r="V244" s="32">
        <f>Q244/R244</f>
        <v>0.74639769452449567</v>
      </c>
      <c r="W244" s="31">
        <f>P244/O244</f>
        <v>0.79591836734693877</v>
      </c>
      <c r="X244" s="31">
        <f>Q244/(O244+P244)</f>
        <v>2.9431818181818183</v>
      </c>
      <c r="Y244" s="65">
        <f>R244/R$488</f>
        <v>1.0080205903456609E-3</v>
      </c>
      <c r="Z244" s="30">
        <v>291</v>
      </c>
      <c r="AA244" s="30">
        <v>353</v>
      </c>
      <c r="AB244" s="29">
        <v>369</v>
      </c>
      <c r="AC244" s="34">
        <f>Z244/R244</f>
        <v>0.83861671469740628</v>
      </c>
      <c r="AD244" s="34">
        <f>AA244/Z244</f>
        <v>1.2130584192439862</v>
      </c>
      <c r="AE244" s="34">
        <f>AB244/AA244</f>
        <v>1.0453257790368271</v>
      </c>
      <c r="AF244" s="35">
        <f>AB244/R244</f>
        <v>1.0634005763688761</v>
      </c>
      <c r="AG244" s="29">
        <f>0.6*Z244+0.4*AA244</f>
        <v>315.8</v>
      </c>
      <c r="AH244" s="54">
        <v>1183</v>
      </c>
      <c r="AI244" s="59">
        <f>AH244/AG244</f>
        <v>3.7460417986067132</v>
      </c>
      <c r="AJ244" s="61">
        <f>AI244/AI$488</f>
        <v>0.79605008875434835</v>
      </c>
    </row>
    <row r="245" spans="1:36" ht="15" customHeight="1" x14ac:dyDescent="0.2">
      <c r="A245" s="28" t="s">
        <v>139</v>
      </c>
      <c r="B245" s="28"/>
      <c r="C245" s="28" t="s">
        <v>117</v>
      </c>
      <c r="D245" s="28">
        <v>3</v>
      </c>
      <c r="E245" s="27"/>
      <c r="F245" s="27"/>
      <c r="G245" s="27" t="s">
        <v>4</v>
      </c>
      <c r="H245" s="27">
        <v>14</v>
      </c>
      <c r="I245" s="27" t="s">
        <v>622</v>
      </c>
      <c r="J245" s="27">
        <v>8</v>
      </c>
      <c r="K245" s="27">
        <v>3</v>
      </c>
      <c r="L245" s="27">
        <v>23</v>
      </c>
      <c r="M245" s="29">
        <v>75</v>
      </c>
      <c r="N245" s="30">
        <v>75</v>
      </c>
      <c r="O245" s="30">
        <v>331</v>
      </c>
      <c r="P245" s="30">
        <v>13</v>
      </c>
      <c r="Q245" s="30">
        <v>40</v>
      </c>
      <c r="R245" s="30">
        <v>384</v>
      </c>
      <c r="S245" s="31">
        <f>R245/N245</f>
        <v>5.12</v>
      </c>
      <c r="T245" s="32">
        <f>O245/R245</f>
        <v>0.86197916666666663</v>
      </c>
      <c r="U245" s="32">
        <f>P245/R245</f>
        <v>3.3854166666666664E-2</v>
      </c>
      <c r="V245" s="32">
        <f>Q245/R245</f>
        <v>0.10416666666666667</v>
      </c>
      <c r="W245" s="31">
        <f>P245/O245</f>
        <v>3.9274924471299093E-2</v>
      </c>
      <c r="X245" s="31">
        <f>Q245/(O245+P245)</f>
        <v>0.11627906976744186</v>
      </c>
      <c r="Y245" s="65">
        <f>R245/R$488</f>
        <v>1.1155040538695499E-3</v>
      </c>
      <c r="Z245" s="30">
        <v>500</v>
      </c>
      <c r="AA245" s="30">
        <v>540</v>
      </c>
      <c r="AB245" s="29">
        <v>638</v>
      </c>
      <c r="AC245" s="34">
        <f>Z245/R245</f>
        <v>1.3020833333333333</v>
      </c>
      <c r="AD245" s="34">
        <f>AA245/Z245</f>
        <v>1.08</v>
      </c>
      <c r="AE245" s="34">
        <f>AB245/AA245</f>
        <v>1.1814814814814816</v>
      </c>
      <c r="AF245" s="35">
        <f>AB245/R245</f>
        <v>1.6614583333333333</v>
      </c>
      <c r="AG245" s="29">
        <f>0.6*Z245+0.4*AA245</f>
        <v>516</v>
      </c>
      <c r="AH245" s="54">
        <v>1915</v>
      </c>
      <c r="AI245" s="59">
        <f>AH245/AG245</f>
        <v>3.7112403100775193</v>
      </c>
      <c r="AJ245" s="61">
        <f>AI245/AI$488</f>
        <v>0.78865462187975233</v>
      </c>
    </row>
    <row r="246" spans="1:36" ht="15" customHeight="1" x14ac:dyDescent="0.2">
      <c r="A246" s="28" t="s">
        <v>584</v>
      </c>
      <c r="B246" s="28"/>
      <c r="C246" s="28" t="s">
        <v>113</v>
      </c>
      <c r="D246" s="28">
        <v>16</v>
      </c>
      <c r="E246" s="27"/>
      <c r="F246" s="27"/>
      <c r="G246" s="27" t="s">
        <v>73</v>
      </c>
      <c r="H246" s="27">
        <v>11</v>
      </c>
      <c r="I246" s="27" t="s">
        <v>111</v>
      </c>
      <c r="J246" s="27">
        <v>5</v>
      </c>
      <c r="K246" s="27">
        <v>4</v>
      </c>
      <c r="L246" s="27">
        <v>47</v>
      </c>
      <c r="M246" s="29">
        <v>130</v>
      </c>
      <c r="N246" s="30">
        <v>138</v>
      </c>
      <c r="O246" s="30">
        <v>203</v>
      </c>
      <c r="P246" s="30">
        <v>120</v>
      </c>
      <c r="Q246" s="30">
        <v>498</v>
      </c>
      <c r="R246" s="30">
        <v>821</v>
      </c>
      <c r="S246" s="31">
        <f>R246/N246</f>
        <v>5.9492753623188408</v>
      </c>
      <c r="T246" s="32">
        <f>O246/R246</f>
        <v>0.24725943970767356</v>
      </c>
      <c r="U246" s="32">
        <f>P246/R246</f>
        <v>0.146163215590743</v>
      </c>
      <c r="V246" s="32">
        <f>Q246/R246</f>
        <v>0.60657734470158342</v>
      </c>
      <c r="W246" s="31">
        <f>P246/O246</f>
        <v>0.59113300492610843</v>
      </c>
      <c r="X246" s="31">
        <f>Q246/(O246+P246)</f>
        <v>1.541795665634675</v>
      </c>
      <c r="Y246" s="65">
        <f>R246/R$488</f>
        <v>2.3849709068408868E-3</v>
      </c>
      <c r="Z246" s="30">
        <v>746</v>
      </c>
      <c r="AA246" s="30">
        <v>815</v>
      </c>
      <c r="AB246" s="29">
        <v>927</v>
      </c>
      <c r="AC246" s="34">
        <f>Z246/R246</f>
        <v>0.90864799025578558</v>
      </c>
      <c r="AD246" s="34">
        <f>AA246/Z246</f>
        <v>1.0924932975871313</v>
      </c>
      <c r="AE246" s="34">
        <f>AB246/AA246</f>
        <v>1.1374233128834357</v>
      </c>
      <c r="AF246" s="35">
        <f>AB246/R246</f>
        <v>1.1291108404384897</v>
      </c>
      <c r="AG246" s="29">
        <f>0.6*Z246+0.4*AA246</f>
        <v>773.59999999999991</v>
      </c>
      <c r="AH246" s="54">
        <v>4406</v>
      </c>
      <c r="AI246" s="59">
        <f>AH246/AG246</f>
        <v>5.6954498448810762</v>
      </c>
      <c r="AJ246" s="61">
        <f>AI246/AI$488</f>
        <v>1.2103077323375906</v>
      </c>
    </row>
    <row r="247" spans="1:36" ht="15" customHeight="1" x14ac:dyDescent="0.2">
      <c r="A247" s="28" t="s">
        <v>140</v>
      </c>
      <c r="B247" s="28"/>
      <c r="C247" s="28" t="s">
        <v>117</v>
      </c>
      <c r="D247" s="28">
        <v>3</v>
      </c>
      <c r="E247" s="27"/>
      <c r="F247" s="27"/>
      <c r="G247" s="27" t="s">
        <v>4</v>
      </c>
      <c r="H247" s="27">
        <v>14</v>
      </c>
      <c r="I247" s="27" t="s">
        <v>622</v>
      </c>
      <c r="J247" s="27">
        <v>8</v>
      </c>
      <c r="K247" s="27">
        <v>6</v>
      </c>
      <c r="L247" s="27">
        <v>35</v>
      </c>
      <c r="M247" s="29">
        <v>34</v>
      </c>
      <c r="N247" s="30">
        <v>34</v>
      </c>
      <c r="O247" s="30">
        <v>150</v>
      </c>
      <c r="P247" s="30">
        <v>16</v>
      </c>
      <c r="Q247" s="30">
        <v>27</v>
      </c>
      <c r="R247" s="30">
        <v>193</v>
      </c>
      <c r="S247" s="31">
        <f>R247/N247</f>
        <v>5.6764705882352944</v>
      </c>
      <c r="T247" s="32">
        <f>O247/R247</f>
        <v>0.77720207253886009</v>
      </c>
      <c r="U247" s="32">
        <f>P247/R247</f>
        <v>8.2901554404145081E-2</v>
      </c>
      <c r="V247" s="32">
        <f>Q247/R247</f>
        <v>0.13989637305699482</v>
      </c>
      <c r="W247" s="31">
        <f>P247/O247</f>
        <v>0.10666666666666667</v>
      </c>
      <c r="X247" s="31">
        <f>Q247/(O247+P247)</f>
        <v>0.16265060240963855</v>
      </c>
      <c r="Y247" s="65">
        <f>R247/R$488</f>
        <v>5.6065698540839354E-4</v>
      </c>
      <c r="Z247" s="30">
        <v>199</v>
      </c>
      <c r="AA247" s="30">
        <v>269</v>
      </c>
      <c r="AB247" s="29">
        <v>293</v>
      </c>
      <c r="AC247" s="34">
        <f>Z247/R247</f>
        <v>1.0310880829015545</v>
      </c>
      <c r="AD247" s="34">
        <f>AA247/Z247</f>
        <v>1.3517587939698492</v>
      </c>
      <c r="AE247" s="34">
        <f>AB247/AA247</f>
        <v>1.0892193308550187</v>
      </c>
      <c r="AF247" s="35">
        <f>AB247/R247</f>
        <v>1.5181347150259068</v>
      </c>
      <c r="AG247" s="29">
        <f>0.6*Z247+0.4*AA247</f>
        <v>227</v>
      </c>
      <c r="AH247" s="54">
        <v>1408</v>
      </c>
      <c r="AI247" s="59">
        <f>AH247/AG247</f>
        <v>6.2026431718061676</v>
      </c>
      <c r="AJ247" s="61">
        <f>AI247/AI$488</f>
        <v>1.318088508586404</v>
      </c>
    </row>
    <row r="248" spans="1:36" ht="15" customHeight="1" x14ac:dyDescent="0.2">
      <c r="A248" s="28" t="s">
        <v>227</v>
      </c>
      <c r="B248" s="28"/>
      <c r="C248" s="28" t="s">
        <v>121</v>
      </c>
      <c r="D248" s="28">
        <v>18</v>
      </c>
      <c r="E248" s="27"/>
      <c r="F248" s="27"/>
      <c r="G248" s="27" t="s">
        <v>126</v>
      </c>
      <c r="H248" s="27">
        <v>20</v>
      </c>
      <c r="I248" s="27" t="s">
        <v>622</v>
      </c>
      <c r="J248" s="27">
        <v>8</v>
      </c>
      <c r="K248" s="27">
        <v>4</v>
      </c>
      <c r="L248" s="27">
        <v>49</v>
      </c>
      <c r="M248" s="29">
        <v>25</v>
      </c>
      <c r="N248" s="30">
        <v>36</v>
      </c>
      <c r="O248" s="30">
        <v>44</v>
      </c>
      <c r="P248" s="30">
        <v>2</v>
      </c>
      <c r="Q248" s="30">
        <v>155</v>
      </c>
      <c r="R248" s="30">
        <v>201</v>
      </c>
      <c r="S248" s="31">
        <f>R248/N248</f>
        <v>5.583333333333333</v>
      </c>
      <c r="T248" s="32">
        <f>O248/R248</f>
        <v>0.21890547263681592</v>
      </c>
      <c r="U248" s="32">
        <f>P248/R248</f>
        <v>9.9502487562189053E-3</v>
      </c>
      <c r="V248" s="32">
        <f>Q248/R248</f>
        <v>0.77114427860696522</v>
      </c>
      <c r="W248" s="31">
        <f>P248/O248</f>
        <v>4.5454545454545456E-2</v>
      </c>
      <c r="X248" s="31">
        <f>Q248/(O248+P248)</f>
        <v>3.3695652173913042</v>
      </c>
      <c r="Y248" s="65">
        <f>R248/R$488</f>
        <v>5.8389665319734255E-4</v>
      </c>
      <c r="Z248" s="30">
        <v>199</v>
      </c>
      <c r="AA248" s="30">
        <v>218</v>
      </c>
      <c r="AB248" s="29">
        <v>250</v>
      </c>
      <c r="AC248" s="34">
        <f>Z248/R248</f>
        <v>0.99004975124378114</v>
      </c>
      <c r="AD248" s="34">
        <f>AA248/Z248</f>
        <v>1.0954773869346734</v>
      </c>
      <c r="AE248" s="34">
        <f>AB248/AA248</f>
        <v>1.1467889908256881</v>
      </c>
      <c r="AF248" s="35">
        <f>AB248/R248</f>
        <v>1.2437810945273631</v>
      </c>
      <c r="AG248" s="29">
        <f>0.6*Z248+0.4*AA248</f>
        <v>206.6</v>
      </c>
      <c r="AH248" s="54">
        <v>2223</v>
      </c>
      <c r="AI248" s="59">
        <f>AH248/AG248</f>
        <v>10.759922555663117</v>
      </c>
      <c r="AJ248" s="61">
        <f>AI248/AI$488</f>
        <v>2.2865300938743749</v>
      </c>
    </row>
    <row r="249" spans="1:36" ht="15" customHeight="1" x14ac:dyDescent="0.2">
      <c r="A249" s="27" t="s">
        <v>106</v>
      </c>
      <c r="B249" s="27"/>
      <c r="C249" s="27" t="s">
        <v>35</v>
      </c>
      <c r="D249" s="27">
        <v>11</v>
      </c>
      <c r="E249" s="27"/>
      <c r="F249" s="27"/>
      <c r="G249" s="27" t="s">
        <v>106</v>
      </c>
      <c r="H249" s="27">
        <v>12</v>
      </c>
      <c r="I249" s="27" t="s">
        <v>111</v>
      </c>
      <c r="J249" s="27">
        <v>5</v>
      </c>
      <c r="K249" s="27">
        <v>6</v>
      </c>
      <c r="L249" s="27">
        <v>38</v>
      </c>
      <c r="M249" s="29">
        <v>168</v>
      </c>
      <c r="N249" s="30">
        <v>182</v>
      </c>
      <c r="O249" s="30">
        <v>194</v>
      </c>
      <c r="P249" s="30">
        <v>44</v>
      </c>
      <c r="Q249" s="30">
        <v>580</v>
      </c>
      <c r="R249" s="30">
        <v>818</v>
      </c>
      <c r="S249" s="31">
        <f>R249/N249</f>
        <v>4.4945054945054945</v>
      </c>
      <c r="T249" s="32">
        <f>O249/R249</f>
        <v>0.23716381418092911</v>
      </c>
      <c r="U249" s="32">
        <f>P249/R249</f>
        <v>5.3789731051344741E-2</v>
      </c>
      <c r="V249" s="32">
        <f>Q249/R249</f>
        <v>0.70904645476772621</v>
      </c>
      <c r="W249" s="31">
        <f>P249/O249</f>
        <v>0.22680412371134021</v>
      </c>
      <c r="X249" s="31">
        <f>Q249/(O249+P249)</f>
        <v>2.4369747899159662</v>
      </c>
      <c r="Y249" s="65">
        <f>R249/R$488</f>
        <v>2.3762560314200308E-3</v>
      </c>
      <c r="Z249" s="30">
        <v>791</v>
      </c>
      <c r="AA249" s="30">
        <v>906</v>
      </c>
      <c r="AB249" s="29">
        <v>982</v>
      </c>
      <c r="AC249" s="34">
        <f>Z249/R249</f>
        <v>0.9669926650366748</v>
      </c>
      <c r="AD249" s="34">
        <f>AA249/Z249</f>
        <v>1.145385587863464</v>
      </c>
      <c r="AE249" s="34">
        <f>AB249/AA249</f>
        <v>1.0838852097130243</v>
      </c>
      <c r="AF249" s="35">
        <f>AB249/R249</f>
        <v>1.2004889975550121</v>
      </c>
      <c r="AG249" s="29">
        <f>0.6*Z249+0.4*AA249</f>
        <v>837</v>
      </c>
      <c r="AH249" s="54">
        <v>5717</v>
      </c>
      <c r="AI249" s="59">
        <f>AH249/AG249</f>
        <v>6.8303464755077661</v>
      </c>
      <c r="AJ249" s="61">
        <f>AI249/AI$488</f>
        <v>1.4514781762641393</v>
      </c>
    </row>
    <row r="250" spans="1:36" ht="15" customHeight="1" x14ac:dyDescent="0.2">
      <c r="A250" s="28" t="s">
        <v>169</v>
      </c>
      <c r="B250" s="28"/>
      <c r="C250" s="28" t="s">
        <v>17</v>
      </c>
      <c r="D250" s="28">
        <v>8</v>
      </c>
      <c r="E250" s="27"/>
      <c r="F250" s="27"/>
      <c r="G250" s="27" t="s">
        <v>201</v>
      </c>
      <c r="H250" s="27">
        <v>3</v>
      </c>
      <c r="I250" s="27" t="s">
        <v>621</v>
      </c>
      <c r="J250" s="27">
        <v>7</v>
      </c>
      <c r="K250" s="27">
        <v>2</v>
      </c>
      <c r="L250" s="27">
        <v>52</v>
      </c>
      <c r="M250" s="29">
        <v>15</v>
      </c>
      <c r="N250" s="30">
        <v>15</v>
      </c>
      <c r="O250" s="30">
        <v>71</v>
      </c>
      <c r="P250" s="30">
        <v>23</v>
      </c>
      <c r="Q250" s="30">
        <v>0</v>
      </c>
      <c r="R250" s="30">
        <v>94</v>
      </c>
      <c r="S250" s="31">
        <f>R250/N250</f>
        <v>6.2666666666666666</v>
      </c>
      <c r="T250" s="32">
        <f>O250/R250</f>
        <v>0.75531914893617025</v>
      </c>
      <c r="U250" s="32">
        <f>P250/R250</f>
        <v>0.24468085106382978</v>
      </c>
      <c r="V250" s="32">
        <f>Q250/R250</f>
        <v>0</v>
      </c>
      <c r="W250" s="31">
        <f>P250/O250</f>
        <v>0.323943661971831</v>
      </c>
      <c r="X250" s="31">
        <f>Q250/(O250+P250)</f>
        <v>0</v>
      </c>
      <c r="Y250" s="65">
        <f>R250/R$488</f>
        <v>2.7306609652015025E-4</v>
      </c>
      <c r="Z250" s="30">
        <v>96</v>
      </c>
      <c r="AA250" s="30">
        <v>93</v>
      </c>
      <c r="AB250" s="29">
        <v>110</v>
      </c>
      <c r="AC250" s="34">
        <f>Z250/R250</f>
        <v>1.0212765957446808</v>
      </c>
      <c r="AD250" s="34">
        <f>AA250/Z250</f>
        <v>0.96875</v>
      </c>
      <c r="AE250" s="34">
        <f>AB250/AA250</f>
        <v>1.1827956989247312</v>
      </c>
      <c r="AF250" s="35">
        <f>AB250/R250</f>
        <v>1.1702127659574468</v>
      </c>
      <c r="AG250" s="29">
        <f>0.6*Z250+0.4*AA250</f>
        <v>94.8</v>
      </c>
      <c r="AH250" s="54">
        <v>573</v>
      </c>
      <c r="AI250" s="59">
        <f>AH250/AG250</f>
        <v>6.0443037974683547</v>
      </c>
      <c r="AJ250" s="61">
        <f>AI250/AI$488</f>
        <v>1.284440706513879</v>
      </c>
    </row>
    <row r="251" spans="1:36" ht="15" customHeight="1" x14ac:dyDescent="0.2">
      <c r="A251" s="28" t="s">
        <v>492</v>
      </c>
      <c r="B251" s="28"/>
      <c r="C251" s="28" t="s">
        <v>122</v>
      </c>
      <c r="D251" s="28">
        <v>15</v>
      </c>
      <c r="E251" s="27"/>
      <c r="F251" s="27" t="s">
        <v>481</v>
      </c>
      <c r="G251" s="27" t="s">
        <v>206</v>
      </c>
      <c r="H251" s="27">
        <v>16</v>
      </c>
      <c r="I251" s="27" t="s">
        <v>621</v>
      </c>
      <c r="J251" s="27">
        <v>7</v>
      </c>
      <c r="K251" s="27">
        <v>6</v>
      </c>
      <c r="L251" s="27">
        <v>39</v>
      </c>
      <c r="M251" s="29">
        <v>141</v>
      </c>
      <c r="N251" s="30">
        <v>226</v>
      </c>
      <c r="O251" s="30">
        <v>293</v>
      </c>
      <c r="P251" s="30">
        <v>47</v>
      </c>
      <c r="Q251" s="30">
        <v>702</v>
      </c>
      <c r="R251" s="30">
        <v>1042</v>
      </c>
      <c r="S251" s="31">
        <f>R251/N251</f>
        <v>4.610619469026549</v>
      </c>
      <c r="T251" s="32">
        <f>O251/R251</f>
        <v>0.28119001919385794</v>
      </c>
      <c r="U251" s="32">
        <f>P251/R251</f>
        <v>4.5105566218809984E-2</v>
      </c>
      <c r="V251" s="32">
        <f>Q251/R251</f>
        <v>0.6737044145873321</v>
      </c>
      <c r="W251" s="31">
        <f>P251/O251</f>
        <v>0.16040955631399317</v>
      </c>
      <c r="X251" s="31">
        <f>Q251/(O251+P251)</f>
        <v>2.0647058823529414</v>
      </c>
      <c r="Y251" s="65">
        <f>R251/R$488</f>
        <v>3.0269667295106015E-3</v>
      </c>
      <c r="Z251" s="30">
        <v>951</v>
      </c>
      <c r="AA251" s="30">
        <v>1143</v>
      </c>
      <c r="AB251" s="29">
        <v>1336</v>
      </c>
      <c r="AC251" s="34">
        <f>Z251/R251</f>
        <v>0.91266794625719772</v>
      </c>
      <c r="AD251" s="34">
        <f>AA251/Z251</f>
        <v>1.2018927444794953</v>
      </c>
      <c r="AE251" s="34">
        <f>AB251/AA251</f>
        <v>1.1688538932633421</v>
      </c>
      <c r="AF251" s="35">
        <f>AB251/R251</f>
        <v>1.2821497120921306</v>
      </c>
      <c r="AG251" s="29">
        <f>0.6*Z251+0.4*AA251</f>
        <v>1027.8000000000002</v>
      </c>
      <c r="AH251" s="54">
        <v>5354</v>
      </c>
      <c r="AI251" s="59">
        <f>AH251/AG251</f>
        <v>5.2091846662774852</v>
      </c>
      <c r="AJ251" s="61">
        <f>AI251/AI$488</f>
        <v>1.1069742781488225</v>
      </c>
    </row>
    <row r="252" spans="1:36" ht="15" customHeight="1" x14ac:dyDescent="0.2">
      <c r="A252" s="27" t="s">
        <v>362</v>
      </c>
      <c r="B252" s="27"/>
      <c r="C252" s="27" t="s">
        <v>325</v>
      </c>
      <c r="D252" s="27">
        <v>4</v>
      </c>
      <c r="E252" s="27"/>
      <c r="F252" s="27"/>
      <c r="G252" s="27" t="s">
        <v>331</v>
      </c>
      <c r="H252" s="27">
        <v>17</v>
      </c>
      <c r="I252" s="27" t="s">
        <v>620</v>
      </c>
      <c r="J252" s="27">
        <v>10</v>
      </c>
      <c r="K252" s="27">
        <v>1</v>
      </c>
      <c r="L252" s="27">
        <v>35</v>
      </c>
      <c r="M252" s="29">
        <v>41</v>
      </c>
      <c r="N252" s="30">
        <v>51</v>
      </c>
      <c r="O252" s="30">
        <v>64</v>
      </c>
      <c r="P252" s="30">
        <v>19</v>
      </c>
      <c r="Q252" s="30">
        <v>158</v>
      </c>
      <c r="R252" s="30">
        <v>241</v>
      </c>
      <c r="S252" s="31">
        <f>R252/N252</f>
        <v>4.7254901960784315</v>
      </c>
      <c r="T252" s="32">
        <f>O252/R252</f>
        <v>0.26556016597510373</v>
      </c>
      <c r="U252" s="32">
        <f>P252/R252</f>
        <v>7.8838174273858919E-2</v>
      </c>
      <c r="V252" s="32">
        <f>Q252/R252</f>
        <v>0.65560165975103735</v>
      </c>
      <c r="W252" s="31">
        <f>P252/O252</f>
        <v>0.296875</v>
      </c>
      <c r="X252" s="31">
        <f>Q252/(O252+P252)</f>
        <v>1.9036144578313252</v>
      </c>
      <c r="Y252" s="65">
        <f>R252/R$488</f>
        <v>7.000949921420873E-4</v>
      </c>
      <c r="Z252" s="30">
        <v>260</v>
      </c>
      <c r="AA252" s="30">
        <v>307</v>
      </c>
      <c r="AB252" s="29">
        <v>340</v>
      </c>
      <c r="AC252" s="34">
        <f>Z252/R252</f>
        <v>1.0788381742738589</v>
      </c>
      <c r="AD252" s="34">
        <f>AA252/Z252</f>
        <v>1.1807692307692308</v>
      </c>
      <c r="AE252" s="34">
        <f>AB252/AA252</f>
        <v>1.1074918566775245</v>
      </c>
      <c r="AF252" s="35">
        <f>AB252/R252</f>
        <v>1.4107883817427387</v>
      </c>
      <c r="AG252" s="29">
        <f>0.6*Z252+0.4*AA252</f>
        <v>278.8</v>
      </c>
      <c r="AH252" s="54">
        <v>1856</v>
      </c>
      <c r="AI252" s="59">
        <f>AH252/AG252</f>
        <v>6.6571018651362985</v>
      </c>
      <c r="AJ252" s="61">
        <f>AI252/AI$488</f>
        <v>1.4146629470497418</v>
      </c>
    </row>
    <row r="253" spans="1:36" ht="15" customHeight="1" x14ac:dyDescent="0.2">
      <c r="A253" s="27" t="s">
        <v>27</v>
      </c>
      <c r="B253" s="27"/>
      <c r="C253" s="27" t="s">
        <v>35</v>
      </c>
      <c r="D253" s="27">
        <v>11</v>
      </c>
      <c r="E253" s="27"/>
      <c r="F253" s="27" t="s">
        <v>480</v>
      </c>
      <c r="G253" s="27" t="s">
        <v>106</v>
      </c>
      <c r="H253" s="27">
        <v>12</v>
      </c>
      <c r="I253" s="27" t="s">
        <v>111</v>
      </c>
      <c r="J253" s="27">
        <v>5</v>
      </c>
      <c r="K253" s="27">
        <v>6</v>
      </c>
      <c r="L253" s="27">
        <v>37</v>
      </c>
      <c r="M253" s="29">
        <v>307</v>
      </c>
      <c r="N253" s="30">
        <v>381</v>
      </c>
      <c r="O253" s="30">
        <v>275</v>
      </c>
      <c r="P253" s="30">
        <v>148</v>
      </c>
      <c r="Q253" s="30">
        <v>1216</v>
      </c>
      <c r="R253" s="30">
        <v>1639</v>
      </c>
      <c r="S253" s="31">
        <f>R253/N253</f>
        <v>4.3018372703412071</v>
      </c>
      <c r="T253" s="32">
        <f>O253/R253</f>
        <v>0.16778523489932887</v>
      </c>
      <c r="U253" s="32">
        <f>P253/R253</f>
        <v>9.0298962782184258E-2</v>
      </c>
      <c r="V253" s="32">
        <f>Q253/R253</f>
        <v>0.74191580231848686</v>
      </c>
      <c r="W253" s="31">
        <f>P253/O253</f>
        <v>0.53818181818181821</v>
      </c>
      <c r="X253" s="31">
        <f>Q253/(O253+P253)</f>
        <v>2.8747044917257685</v>
      </c>
      <c r="Y253" s="65">
        <f>R253/R$488</f>
        <v>4.7612269382609172E-3</v>
      </c>
      <c r="Z253" s="30">
        <v>1793</v>
      </c>
      <c r="AA253" s="30">
        <v>1891</v>
      </c>
      <c r="AB253" s="29">
        <v>2050</v>
      </c>
      <c r="AC253" s="34">
        <f>Z253/R253</f>
        <v>1.0939597315436242</v>
      </c>
      <c r="AD253" s="34">
        <f>AA253/Z253</f>
        <v>1.0546569994422754</v>
      </c>
      <c r="AE253" s="34">
        <f>AB253/AA253</f>
        <v>1.0840824960338444</v>
      </c>
      <c r="AF253" s="35">
        <f>AB253/R253</f>
        <v>1.2507626601586332</v>
      </c>
      <c r="AG253" s="29">
        <f>0.6*Z253+0.4*AA253</f>
        <v>1832.2</v>
      </c>
      <c r="AH253" s="54">
        <v>8345</v>
      </c>
      <c r="AI253" s="59">
        <f>AH253/AG253</f>
        <v>4.5546337736055014</v>
      </c>
      <c r="AJ253" s="61">
        <f>AI253/AI$488</f>
        <v>0.96787938166379928</v>
      </c>
    </row>
    <row r="254" spans="1:36" ht="15" customHeight="1" x14ac:dyDescent="0.2">
      <c r="A254" s="27" t="s">
        <v>339</v>
      </c>
      <c r="B254" s="27">
        <v>2</v>
      </c>
      <c r="C254" s="27" t="s">
        <v>323</v>
      </c>
      <c r="D254" s="27">
        <v>1</v>
      </c>
      <c r="E254" s="27"/>
      <c r="F254" s="27"/>
      <c r="G254" s="27" t="s">
        <v>336</v>
      </c>
      <c r="H254" s="27">
        <v>10</v>
      </c>
      <c r="I254" s="27" t="s">
        <v>618</v>
      </c>
      <c r="J254" s="27">
        <v>6</v>
      </c>
      <c r="K254" s="27">
        <v>7</v>
      </c>
      <c r="L254" s="27">
        <v>17</v>
      </c>
      <c r="M254" s="29">
        <v>89</v>
      </c>
      <c r="N254" s="30">
        <v>96</v>
      </c>
      <c r="O254" s="30">
        <v>286</v>
      </c>
      <c r="P254" s="30">
        <v>138</v>
      </c>
      <c r="Q254" s="30">
        <v>20</v>
      </c>
      <c r="R254" s="30">
        <v>444</v>
      </c>
      <c r="S254" s="31">
        <f>R254/N254</f>
        <v>4.625</v>
      </c>
      <c r="T254" s="32">
        <f>O254/R254</f>
        <v>0.64414414414414412</v>
      </c>
      <c r="U254" s="32">
        <f>P254/R254</f>
        <v>0.3108108108108108</v>
      </c>
      <c r="V254" s="32">
        <f>Q254/R254</f>
        <v>4.5045045045045043E-2</v>
      </c>
      <c r="W254" s="31">
        <f>P254/O254</f>
        <v>0.4825174825174825</v>
      </c>
      <c r="X254" s="31">
        <f>Q254/(O254+P254)</f>
        <v>4.716981132075472E-2</v>
      </c>
      <c r="Y254" s="65">
        <f>R254/R$488</f>
        <v>1.289801562286667E-3</v>
      </c>
      <c r="Z254" s="30">
        <v>430</v>
      </c>
      <c r="AA254" s="30">
        <v>484</v>
      </c>
      <c r="AB254" s="29">
        <v>540</v>
      </c>
      <c r="AC254" s="34">
        <f>Z254/R254</f>
        <v>0.96846846846846846</v>
      </c>
      <c r="AD254" s="34">
        <f>AA254/Z254</f>
        <v>1.1255813953488372</v>
      </c>
      <c r="AE254" s="34">
        <f>AB254/AA254</f>
        <v>1.115702479338843</v>
      </c>
      <c r="AF254" s="35">
        <f>AB254/R254</f>
        <v>1.2162162162162162</v>
      </c>
      <c r="AG254" s="29">
        <f>0.6*Z254+0.4*AA254</f>
        <v>451.6</v>
      </c>
      <c r="AH254" s="54">
        <v>3293</v>
      </c>
      <c r="AI254" s="59">
        <f>AH254/AG254</f>
        <v>7.2918511957484498</v>
      </c>
      <c r="AJ254" s="61">
        <f>AI254/AI$488</f>
        <v>1.5495499259292895</v>
      </c>
    </row>
    <row r="255" spans="1:36" ht="15" customHeight="1" x14ac:dyDescent="0.2">
      <c r="A255" s="28" t="s">
        <v>434</v>
      </c>
      <c r="B255" s="28"/>
      <c r="C255" s="28" t="s">
        <v>119</v>
      </c>
      <c r="D255" s="28">
        <v>31</v>
      </c>
      <c r="E255" s="27"/>
      <c r="F255" s="27"/>
      <c r="G255" s="27" t="s">
        <v>332</v>
      </c>
      <c r="H255" s="27">
        <v>18</v>
      </c>
      <c r="I255" s="27" t="s">
        <v>620</v>
      </c>
      <c r="J255" s="27">
        <v>10</v>
      </c>
      <c r="K255" s="27">
        <v>2</v>
      </c>
      <c r="L255" s="27">
        <v>51</v>
      </c>
      <c r="M255" s="29">
        <v>94</v>
      </c>
      <c r="N255" s="30">
        <v>90</v>
      </c>
      <c r="O255" s="30">
        <v>240</v>
      </c>
      <c r="P255" s="30">
        <v>9</v>
      </c>
      <c r="Q255" s="30">
        <v>261</v>
      </c>
      <c r="R255" s="30">
        <v>510</v>
      </c>
      <c r="S255" s="31">
        <f>R255/N255</f>
        <v>5.666666666666667</v>
      </c>
      <c r="T255" s="32">
        <f>O255/R255</f>
        <v>0.47058823529411764</v>
      </c>
      <c r="U255" s="32">
        <f>P255/R255</f>
        <v>1.7647058823529412E-2</v>
      </c>
      <c r="V255" s="32">
        <f>Q255/R255</f>
        <v>0.5117647058823529</v>
      </c>
      <c r="W255" s="31">
        <f>P255/O255</f>
        <v>3.7499999999999999E-2</v>
      </c>
      <c r="X255" s="31">
        <f>Q255/(O255+P255)</f>
        <v>1.0481927710843373</v>
      </c>
      <c r="Y255" s="65">
        <f>R255/R$488</f>
        <v>1.4815288215454961E-3</v>
      </c>
      <c r="Z255" s="30">
        <v>554</v>
      </c>
      <c r="AA255" s="30">
        <v>623</v>
      </c>
      <c r="AB255" s="29">
        <v>699</v>
      </c>
      <c r="AC255" s="34">
        <f>Z255/R255</f>
        <v>1.0862745098039215</v>
      </c>
      <c r="AD255" s="34">
        <f>AA255/Z255</f>
        <v>1.1245487364620939</v>
      </c>
      <c r="AE255" s="34">
        <f>AB255/AA255</f>
        <v>1.1219903691813804</v>
      </c>
      <c r="AF255" s="35">
        <f>AB255/R255</f>
        <v>1.3705882352941177</v>
      </c>
      <c r="AG255" s="29">
        <f>0.6*Z255+0.4*AA255</f>
        <v>581.6</v>
      </c>
      <c r="AH255" s="54">
        <v>3722</v>
      </c>
      <c r="AI255" s="59">
        <f>AH255/AG255</f>
        <v>6.3995873452544698</v>
      </c>
      <c r="AJ255" s="61">
        <f>AI255/AI$488</f>
        <v>1.3599399974863633</v>
      </c>
    </row>
    <row r="256" spans="1:36" ht="15" customHeight="1" x14ac:dyDescent="0.2">
      <c r="A256" s="27" t="s">
        <v>279</v>
      </c>
      <c r="B256" s="27"/>
      <c r="C256" s="28" t="s">
        <v>110</v>
      </c>
      <c r="D256" s="27">
        <v>26</v>
      </c>
      <c r="E256" s="27" t="s">
        <v>475</v>
      </c>
      <c r="F256" s="27"/>
      <c r="G256" s="27" t="s">
        <v>287</v>
      </c>
      <c r="H256" s="27">
        <v>25</v>
      </c>
      <c r="I256" s="27" t="s">
        <v>624</v>
      </c>
      <c r="J256" s="27">
        <v>4</v>
      </c>
      <c r="K256" s="27">
        <v>4</v>
      </c>
      <c r="L256" s="27">
        <v>51</v>
      </c>
      <c r="M256" s="29">
        <v>153</v>
      </c>
      <c r="N256" s="30">
        <v>226</v>
      </c>
      <c r="O256" s="30">
        <v>31</v>
      </c>
      <c r="P256" s="30">
        <v>216</v>
      </c>
      <c r="Q256" s="30">
        <v>870</v>
      </c>
      <c r="R256" s="30">
        <v>1117</v>
      </c>
      <c r="S256" s="31">
        <f>R256/N256</f>
        <v>4.9424778761061949</v>
      </c>
      <c r="T256" s="32">
        <f>O256/R256</f>
        <v>2.775290957923008E-2</v>
      </c>
      <c r="U256" s="32">
        <f>P256/R256</f>
        <v>0.19337511190689347</v>
      </c>
      <c r="V256" s="32">
        <f>Q256/R256</f>
        <v>0.77887197851387646</v>
      </c>
      <c r="W256" s="31">
        <f>P256/O256</f>
        <v>6.967741935483871</v>
      </c>
      <c r="X256" s="31">
        <f>Q256/(O256+P256)</f>
        <v>3.5222672064777329</v>
      </c>
      <c r="Y256" s="65">
        <f>R256/R$488</f>
        <v>3.2448386150319983E-3</v>
      </c>
      <c r="Z256" s="30">
        <v>1242</v>
      </c>
      <c r="AA256" s="30">
        <v>1430</v>
      </c>
      <c r="AB256" s="29">
        <v>1586</v>
      </c>
      <c r="AC256" s="34">
        <f>Z256/R256</f>
        <v>1.1119068934646374</v>
      </c>
      <c r="AD256" s="34">
        <f>AA256/Z256</f>
        <v>1.1513687600644122</v>
      </c>
      <c r="AE256" s="34">
        <f>AB256/AA256</f>
        <v>1.1090909090909091</v>
      </c>
      <c r="AF256" s="35">
        <f>AB256/R256</f>
        <v>1.4198746642793196</v>
      </c>
      <c r="AG256" s="29">
        <f>0.6*Z256+0.4*AA256</f>
        <v>1317.1999999999998</v>
      </c>
      <c r="AH256" s="54">
        <v>2431</v>
      </c>
      <c r="AI256" s="59">
        <f>AH256/AG256</f>
        <v>1.8455815365927728</v>
      </c>
      <c r="AJ256" s="61">
        <f>AI256/AI$488</f>
        <v>0.39219406108989557</v>
      </c>
    </row>
    <row r="257" spans="1:36" ht="15" customHeight="1" x14ac:dyDescent="0.2">
      <c r="A257" s="28" t="s">
        <v>33</v>
      </c>
      <c r="B257" s="28"/>
      <c r="C257" s="27" t="s">
        <v>113</v>
      </c>
      <c r="D257" s="28">
        <v>16</v>
      </c>
      <c r="E257" s="27"/>
      <c r="F257" s="27"/>
      <c r="G257" s="27" t="s">
        <v>73</v>
      </c>
      <c r="H257" s="27">
        <v>11</v>
      </c>
      <c r="I257" s="27" t="s">
        <v>111</v>
      </c>
      <c r="J257" s="27">
        <v>5</v>
      </c>
      <c r="K257" s="27">
        <v>4</v>
      </c>
      <c r="L257" s="27">
        <v>53</v>
      </c>
      <c r="M257" s="29">
        <v>122</v>
      </c>
      <c r="N257" s="30">
        <v>132</v>
      </c>
      <c r="O257" s="30">
        <v>90</v>
      </c>
      <c r="P257" s="30">
        <v>34</v>
      </c>
      <c r="Q257" s="30">
        <v>408</v>
      </c>
      <c r="R257" s="30">
        <v>532</v>
      </c>
      <c r="S257" s="31">
        <f>R257/N257</f>
        <v>4.0303030303030303</v>
      </c>
      <c r="T257" s="32">
        <f>O257/R257</f>
        <v>0.16917293233082706</v>
      </c>
      <c r="U257" s="32">
        <f>P257/R257</f>
        <v>6.3909774436090222E-2</v>
      </c>
      <c r="V257" s="32">
        <f>Q257/R257</f>
        <v>0.76691729323308266</v>
      </c>
      <c r="W257" s="31">
        <f>P257/O257</f>
        <v>0.37777777777777777</v>
      </c>
      <c r="X257" s="31">
        <f>Q257/(O257+P257)</f>
        <v>3.2903225806451615</v>
      </c>
      <c r="Y257" s="65">
        <f>R257/R$488</f>
        <v>1.5454379079651056E-3</v>
      </c>
      <c r="Z257" s="30">
        <v>585</v>
      </c>
      <c r="AA257" s="30">
        <v>679</v>
      </c>
      <c r="AB257" s="29">
        <v>771</v>
      </c>
      <c r="AC257" s="34">
        <f>Z257/R257</f>
        <v>1.0996240601503759</v>
      </c>
      <c r="AD257" s="34">
        <f>AA257/Z257</f>
        <v>1.1606837606837608</v>
      </c>
      <c r="AE257" s="34">
        <f>AB257/AA257</f>
        <v>1.1354933726067746</v>
      </c>
      <c r="AF257" s="35">
        <f>AB257/R257</f>
        <v>1.4492481203007519</v>
      </c>
      <c r="AG257" s="29">
        <f>0.6*Z257+0.4*AA257</f>
        <v>622.6</v>
      </c>
      <c r="AH257" s="54">
        <v>2746</v>
      </c>
      <c r="AI257" s="59">
        <f>AH257/AG257</f>
        <v>4.4105364600064245</v>
      </c>
      <c r="AJ257" s="61">
        <f>AI257/AI$488</f>
        <v>0.93725807911387249</v>
      </c>
    </row>
    <row r="258" spans="1:36" ht="15" customHeight="1" x14ac:dyDescent="0.2">
      <c r="A258" s="28" t="s">
        <v>55</v>
      </c>
      <c r="B258" s="28"/>
      <c r="C258" s="27" t="s">
        <v>111</v>
      </c>
      <c r="D258" s="28">
        <v>28</v>
      </c>
      <c r="E258" s="27"/>
      <c r="F258" s="27"/>
      <c r="G258" s="27" t="s">
        <v>426</v>
      </c>
      <c r="H258" s="27">
        <v>13</v>
      </c>
      <c r="I258" s="27" t="s">
        <v>111</v>
      </c>
      <c r="J258" s="27">
        <v>5</v>
      </c>
      <c r="K258" s="27">
        <v>6</v>
      </c>
      <c r="L258" s="27">
        <v>36</v>
      </c>
      <c r="M258" s="29">
        <v>167</v>
      </c>
      <c r="N258" s="30">
        <v>169</v>
      </c>
      <c r="O258" s="30">
        <v>187</v>
      </c>
      <c r="P258" s="30">
        <v>28</v>
      </c>
      <c r="Q258" s="30">
        <v>641</v>
      </c>
      <c r="R258" s="30">
        <v>856</v>
      </c>
      <c r="S258" s="31">
        <f>R258/N258</f>
        <v>5.0650887573964498</v>
      </c>
      <c r="T258" s="32">
        <f>O258/R258</f>
        <v>0.21845794392523366</v>
      </c>
      <c r="U258" s="32">
        <f>P258/R258</f>
        <v>3.2710280373831772E-2</v>
      </c>
      <c r="V258" s="32">
        <f>Q258/R258</f>
        <v>0.74883177570093462</v>
      </c>
      <c r="W258" s="31">
        <f>P258/O258</f>
        <v>0.1497326203208556</v>
      </c>
      <c r="X258" s="31">
        <f>Q258/(O258+P258)</f>
        <v>2.9813953488372094</v>
      </c>
      <c r="Y258" s="65">
        <f>R258/R$488</f>
        <v>2.4866444534175384E-3</v>
      </c>
      <c r="Z258" s="30">
        <v>1001</v>
      </c>
      <c r="AA258" s="30">
        <v>1131</v>
      </c>
      <c r="AB258" s="29">
        <v>1288</v>
      </c>
      <c r="AC258" s="34">
        <f>Z258/R258</f>
        <v>1.169392523364486</v>
      </c>
      <c r="AD258" s="34">
        <f>AA258/Z258</f>
        <v>1.1298701298701299</v>
      </c>
      <c r="AE258" s="34">
        <f>AB258/AA258</f>
        <v>1.138815207780725</v>
      </c>
      <c r="AF258" s="35">
        <f>AB258/R258</f>
        <v>1.5046728971962617</v>
      </c>
      <c r="AG258" s="29">
        <f>0.6*Z258+0.4*AA258</f>
        <v>1053</v>
      </c>
      <c r="AH258" s="54">
        <v>4033</v>
      </c>
      <c r="AI258" s="59">
        <f>AH258/AG258</f>
        <v>3.8300094966761633</v>
      </c>
      <c r="AJ258" s="61">
        <f>AI258/AI$488</f>
        <v>0.81389358786467469</v>
      </c>
    </row>
    <row r="259" spans="1:36" ht="15" customHeight="1" x14ac:dyDescent="0.2">
      <c r="A259" s="28" t="s">
        <v>188</v>
      </c>
      <c r="B259" s="28"/>
      <c r="C259" s="28" t="s">
        <v>81</v>
      </c>
      <c r="D259" s="27">
        <v>10</v>
      </c>
      <c r="E259" s="27"/>
      <c r="F259" s="27"/>
      <c r="G259" s="27" t="s">
        <v>330</v>
      </c>
      <c r="H259" s="27">
        <v>15</v>
      </c>
      <c r="I259" s="27" t="s">
        <v>624</v>
      </c>
      <c r="J259" s="27">
        <v>4</v>
      </c>
      <c r="K259" s="27">
        <v>4</v>
      </c>
      <c r="L259" s="27">
        <v>50</v>
      </c>
      <c r="M259" s="29">
        <v>52</v>
      </c>
      <c r="N259" s="30">
        <v>67</v>
      </c>
      <c r="O259" s="30">
        <v>111</v>
      </c>
      <c r="P259" s="30">
        <v>20</v>
      </c>
      <c r="Q259" s="30">
        <v>223</v>
      </c>
      <c r="R259" s="30">
        <v>354</v>
      </c>
      <c r="S259" s="31">
        <f>R259/N259</f>
        <v>5.2835820895522385</v>
      </c>
      <c r="T259" s="32">
        <f>O259/R259</f>
        <v>0.3135593220338983</v>
      </c>
      <c r="U259" s="32">
        <f>P259/R259</f>
        <v>5.6497175141242938E-2</v>
      </c>
      <c r="V259" s="32">
        <f>Q259/R259</f>
        <v>0.62994350282485878</v>
      </c>
      <c r="W259" s="31">
        <f>P259/O259</f>
        <v>0.18018018018018017</v>
      </c>
      <c r="X259" s="31">
        <f>Q259/(O259+P259)</f>
        <v>1.7022900763358779</v>
      </c>
      <c r="Y259" s="65">
        <f>R259/R$488</f>
        <v>1.0283552996609914E-3</v>
      </c>
      <c r="Z259" s="30">
        <v>420</v>
      </c>
      <c r="AA259" s="30">
        <v>525</v>
      </c>
      <c r="AB259" s="29">
        <v>504</v>
      </c>
      <c r="AC259" s="34">
        <f>Z259/R259</f>
        <v>1.1864406779661016</v>
      </c>
      <c r="AD259" s="34">
        <f>AA259/Z259</f>
        <v>1.25</v>
      </c>
      <c r="AE259" s="34">
        <f>AB259/AA259</f>
        <v>0.96</v>
      </c>
      <c r="AF259" s="35">
        <f>AB259/R259</f>
        <v>1.423728813559322</v>
      </c>
      <c r="AG259" s="29">
        <f>0.6*Z259+0.4*AA259</f>
        <v>462</v>
      </c>
      <c r="AH259" s="54">
        <v>2673</v>
      </c>
      <c r="AI259" s="59">
        <f>AH259/AG259</f>
        <v>5.7857142857142856</v>
      </c>
      <c r="AJ259" s="61">
        <f>AI259/AI$488</f>
        <v>1.2294893165268976</v>
      </c>
    </row>
    <row r="260" spans="1:36" ht="15" customHeight="1" x14ac:dyDescent="0.2">
      <c r="A260" s="28" t="s">
        <v>474</v>
      </c>
      <c r="B260" s="28"/>
      <c r="C260" s="27" t="s">
        <v>113</v>
      </c>
      <c r="D260" s="28">
        <v>16</v>
      </c>
      <c r="E260" s="27"/>
      <c r="F260" s="27"/>
      <c r="G260" s="27" t="s">
        <v>73</v>
      </c>
      <c r="H260" s="27">
        <v>11</v>
      </c>
      <c r="I260" s="27" t="s">
        <v>624</v>
      </c>
      <c r="J260" s="27">
        <v>4</v>
      </c>
      <c r="K260" s="27">
        <v>4</v>
      </c>
      <c r="L260" s="27">
        <v>52</v>
      </c>
      <c r="M260" s="29">
        <v>52</v>
      </c>
      <c r="N260" s="30">
        <v>85</v>
      </c>
      <c r="O260" s="30">
        <v>6</v>
      </c>
      <c r="P260" s="30">
        <v>29</v>
      </c>
      <c r="Q260" s="30">
        <v>265</v>
      </c>
      <c r="R260" s="30">
        <v>300</v>
      </c>
      <c r="S260" s="31">
        <f>R260/N260</f>
        <v>3.5294117647058822</v>
      </c>
      <c r="T260" s="32">
        <f>O260/R260</f>
        <v>0.02</v>
      </c>
      <c r="U260" s="32">
        <f>P260/R260</f>
        <v>9.6666666666666665E-2</v>
      </c>
      <c r="V260" s="32">
        <f>Q260/R260</f>
        <v>0.8833333333333333</v>
      </c>
      <c r="W260" s="31">
        <f>P260/O260</f>
        <v>4.833333333333333</v>
      </c>
      <c r="X260" s="31">
        <f>Q260/(O260+P260)</f>
        <v>7.5714285714285712</v>
      </c>
      <c r="Y260" s="65">
        <f>R260/R$488</f>
        <v>8.7148754208558584E-4</v>
      </c>
      <c r="Z260" s="30">
        <v>280</v>
      </c>
      <c r="AA260" s="30">
        <v>328</v>
      </c>
      <c r="AB260" s="29">
        <v>275</v>
      </c>
      <c r="AC260" s="34">
        <f>Z260/R260</f>
        <v>0.93333333333333335</v>
      </c>
      <c r="AD260" s="34">
        <f>AA260/Z260</f>
        <v>1.1714285714285715</v>
      </c>
      <c r="AE260" s="34">
        <f>AB260/AA260</f>
        <v>0.83841463414634143</v>
      </c>
      <c r="AF260" s="35">
        <f>AB260/R260</f>
        <v>0.91666666666666663</v>
      </c>
      <c r="AG260" s="29">
        <f>0.6*Z260+0.4*AA260</f>
        <v>299.20000000000005</v>
      </c>
      <c r="AH260" s="54">
        <v>525</v>
      </c>
      <c r="AI260" s="59">
        <f>AH260/AG260</f>
        <v>1.7546791443850265</v>
      </c>
      <c r="AJ260" s="61">
        <f>AI260/AI$488</f>
        <v>0.37287690947352187</v>
      </c>
    </row>
    <row r="261" spans="1:36" ht="15" customHeight="1" x14ac:dyDescent="0.2">
      <c r="A261" s="27" t="s">
        <v>410</v>
      </c>
      <c r="B261" s="27"/>
      <c r="C261" s="27" t="s">
        <v>332</v>
      </c>
      <c r="D261" s="27">
        <v>25</v>
      </c>
      <c r="E261" s="27"/>
      <c r="F261" s="27"/>
      <c r="G261" s="27" t="s">
        <v>332</v>
      </c>
      <c r="H261" s="27">
        <v>18</v>
      </c>
      <c r="I261" s="27" t="s">
        <v>620</v>
      </c>
      <c r="J261" s="27">
        <v>10</v>
      </c>
      <c r="K261" s="27">
        <v>3</v>
      </c>
      <c r="L261" s="27">
        <v>24</v>
      </c>
      <c r="M261" s="29">
        <v>82</v>
      </c>
      <c r="N261" s="30">
        <v>82</v>
      </c>
      <c r="O261" s="30">
        <v>123</v>
      </c>
      <c r="P261" s="30">
        <v>20</v>
      </c>
      <c r="Q261" s="30">
        <v>284</v>
      </c>
      <c r="R261" s="30">
        <v>427</v>
      </c>
      <c r="S261" s="31">
        <f>R261/N261</f>
        <v>5.2073170731707314</v>
      </c>
      <c r="T261" s="32">
        <f>O261/R261</f>
        <v>0.28805620608899296</v>
      </c>
      <c r="U261" s="32">
        <f>P261/R261</f>
        <v>4.6838407494145202E-2</v>
      </c>
      <c r="V261" s="32">
        <f>Q261/R261</f>
        <v>0.66510538641686179</v>
      </c>
      <c r="W261" s="31">
        <f>P261/O261</f>
        <v>0.16260162601626016</v>
      </c>
      <c r="X261" s="31">
        <f>Q261/(O261+P261)</f>
        <v>1.986013986013986</v>
      </c>
      <c r="Y261" s="65">
        <f>R261/R$488</f>
        <v>1.2404172682351506E-3</v>
      </c>
      <c r="Z261" s="30">
        <v>384</v>
      </c>
      <c r="AA261" s="30">
        <v>444</v>
      </c>
      <c r="AB261" s="29">
        <v>521</v>
      </c>
      <c r="AC261" s="34">
        <f>Z261/R261</f>
        <v>0.89929742388758782</v>
      </c>
      <c r="AD261" s="34">
        <f>AA261/Z261</f>
        <v>1.15625</v>
      </c>
      <c r="AE261" s="34">
        <f>AB261/AA261</f>
        <v>1.1734234234234233</v>
      </c>
      <c r="AF261" s="35">
        <f>AB261/R261</f>
        <v>1.2201405152224825</v>
      </c>
      <c r="AG261" s="29">
        <f>0.6*Z261+0.4*AA261</f>
        <v>408</v>
      </c>
      <c r="AH261" s="54">
        <v>1741</v>
      </c>
      <c r="AI261" s="59">
        <f>AH261/AG261</f>
        <v>4.2671568627450984</v>
      </c>
      <c r="AJ261" s="61">
        <f>AI261/AI$488</f>
        <v>0.90678929439078337</v>
      </c>
    </row>
    <row r="262" spans="1:36" ht="15" customHeight="1" x14ac:dyDescent="0.2">
      <c r="A262" s="27" t="s">
        <v>105</v>
      </c>
      <c r="B262" s="27"/>
      <c r="C262" s="27" t="s">
        <v>121</v>
      </c>
      <c r="D262" s="28">
        <v>18</v>
      </c>
      <c r="E262" s="27"/>
      <c r="F262" s="27"/>
      <c r="G262" s="27" t="s">
        <v>126</v>
      </c>
      <c r="H262" s="27">
        <v>20</v>
      </c>
      <c r="I262" s="27" t="s">
        <v>622</v>
      </c>
      <c r="J262" s="27">
        <v>8</v>
      </c>
      <c r="K262" s="27">
        <v>4</v>
      </c>
      <c r="L262" s="27">
        <v>55</v>
      </c>
      <c r="M262" s="29">
        <v>133</v>
      </c>
      <c r="N262" s="30">
        <v>143</v>
      </c>
      <c r="O262" s="30">
        <v>197</v>
      </c>
      <c r="P262" s="30">
        <v>51</v>
      </c>
      <c r="Q262" s="30">
        <v>474</v>
      </c>
      <c r="R262" s="30">
        <v>722</v>
      </c>
      <c r="S262" s="31">
        <f>R262/N262</f>
        <v>5.0489510489510492</v>
      </c>
      <c r="T262" s="32">
        <f>O262/R262</f>
        <v>0.27285318559556787</v>
      </c>
      <c r="U262" s="32">
        <f>P262/R262</f>
        <v>7.0637119113573413E-2</v>
      </c>
      <c r="V262" s="32">
        <f>Q262/R262</f>
        <v>0.65650969529085867</v>
      </c>
      <c r="W262" s="31">
        <f>P262/O262</f>
        <v>0.25888324873096447</v>
      </c>
      <c r="X262" s="31">
        <f>Q262/(O262+P262)</f>
        <v>1.9112903225806452</v>
      </c>
      <c r="Y262" s="65">
        <f>R262/R$488</f>
        <v>2.0973800179526435E-3</v>
      </c>
      <c r="Z262" s="30">
        <v>804</v>
      </c>
      <c r="AA262" s="30">
        <v>1069</v>
      </c>
      <c r="AB262" s="29">
        <v>1209</v>
      </c>
      <c r="AC262" s="34">
        <f>Z262/R262</f>
        <v>1.1135734072022161</v>
      </c>
      <c r="AD262" s="34">
        <f>AA262/Z262</f>
        <v>1.3296019900497513</v>
      </c>
      <c r="AE262" s="34">
        <f>AB262/AA262</f>
        <v>1.1309635173058934</v>
      </c>
      <c r="AF262" s="35">
        <f>AB262/R262</f>
        <v>1.6745152354570638</v>
      </c>
      <c r="AG262" s="29">
        <f>0.6*Z262+0.4*AA262</f>
        <v>910</v>
      </c>
      <c r="AH262" s="54">
        <v>7698</v>
      </c>
      <c r="AI262" s="59">
        <f>AH262/AG262</f>
        <v>8.4593406593406595</v>
      </c>
      <c r="AJ262" s="61">
        <f>AI262/AI$488</f>
        <v>1.7976464878678176</v>
      </c>
    </row>
    <row r="263" spans="1:36" ht="15" customHeight="1" x14ac:dyDescent="0.2">
      <c r="A263" s="28" t="s">
        <v>266</v>
      </c>
      <c r="B263" s="28"/>
      <c r="C263" s="28" t="s">
        <v>123</v>
      </c>
      <c r="D263" s="28">
        <v>23</v>
      </c>
      <c r="E263" s="27"/>
      <c r="F263" s="27"/>
      <c r="G263" s="27" t="s">
        <v>30</v>
      </c>
      <c r="H263" s="27">
        <v>8</v>
      </c>
      <c r="I263" s="27" t="s">
        <v>619</v>
      </c>
      <c r="J263" s="27">
        <v>9</v>
      </c>
      <c r="K263" s="27">
        <v>1</v>
      </c>
      <c r="L263" s="27">
        <v>40</v>
      </c>
      <c r="M263" s="29">
        <v>8</v>
      </c>
      <c r="N263" s="30">
        <v>10</v>
      </c>
      <c r="O263" s="30">
        <v>14</v>
      </c>
      <c r="P263" s="30">
        <v>2</v>
      </c>
      <c r="Q263" s="30">
        <v>34</v>
      </c>
      <c r="R263" s="30">
        <v>50</v>
      </c>
      <c r="S263" s="31">
        <f>R263/N263</f>
        <v>5</v>
      </c>
      <c r="T263" s="32">
        <f>O263/R263</f>
        <v>0.28000000000000003</v>
      </c>
      <c r="U263" s="32">
        <f>P263/R263</f>
        <v>0.04</v>
      </c>
      <c r="V263" s="32">
        <f>Q263/R263</f>
        <v>0.68</v>
      </c>
      <c r="W263" s="31">
        <f>P263/O263</f>
        <v>0.14285714285714285</v>
      </c>
      <c r="X263" s="31">
        <f>Q263/(O263+P263)</f>
        <v>2.125</v>
      </c>
      <c r="Y263" s="65">
        <f>R263/R$488</f>
        <v>1.4524792368093099E-4</v>
      </c>
      <c r="Z263" s="30">
        <v>65</v>
      </c>
      <c r="AA263" s="30">
        <v>83</v>
      </c>
      <c r="AB263" s="29">
        <v>96</v>
      </c>
      <c r="AC263" s="34">
        <f>Z263/R263</f>
        <v>1.3</v>
      </c>
      <c r="AD263" s="34">
        <f>AA263/Z263</f>
        <v>1.2769230769230768</v>
      </c>
      <c r="AE263" s="34">
        <f>AB263/AA263</f>
        <v>1.1566265060240963</v>
      </c>
      <c r="AF263" s="35">
        <f>AB263/R263</f>
        <v>1.92</v>
      </c>
      <c r="AG263" s="29">
        <f>0.6*Z263+0.4*AA263</f>
        <v>72.2</v>
      </c>
      <c r="AH263" s="54">
        <v>420</v>
      </c>
      <c r="AI263" s="59">
        <f>AH263/AG263</f>
        <v>5.8171745152354566</v>
      </c>
      <c r="AJ263" s="61">
        <f>AI263/AI$488</f>
        <v>1.2361747514069557</v>
      </c>
    </row>
    <row r="264" spans="1:36" ht="15" customHeight="1" x14ac:dyDescent="0.2">
      <c r="A264" s="27" t="s">
        <v>411</v>
      </c>
      <c r="B264" s="27"/>
      <c r="C264" s="27" t="s">
        <v>332</v>
      </c>
      <c r="D264" s="27">
        <v>25</v>
      </c>
      <c r="E264" s="27"/>
      <c r="F264" s="27"/>
      <c r="G264" s="27" t="s">
        <v>350</v>
      </c>
      <c r="H264" s="27">
        <v>2</v>
      </c>
      <c r="I264" s="27" t="s">
        <v>620</v>
      </c>
      <c r="J264" s="27">
        <v>10</v>
      </c>
      <c r="K264" s="27">
        <v>1</v>
      </c>
      <c r="L264" s="27">
        <v>37</v>
      </c>
      <c r="M264" s="29">
        <v>96</v>
      </c>
      <c r="N264" s="30">
        <v>114</v>
      </c>
      <c r="O264" s="30">
        <v>590</v>
      </c>
      <c r="P264" s="30">
        <v>15</v>
      </c>
      <c r="Q264" s="30">
        <v>2</v>
      </c>
      <c r="R264" s="30">
        <v>607</v>
      </c>
      <c r="S264" s="31">
        <f>R264/N264</f>
        <v>5.3245614035087723</v>
      </c>
      <c r="T264" s="32">
        <f>O264/R264</f>
        <v>0.97199341021416807</v>
      </c>
      <c r="U264" s="32">
        <f>P264/R264</f>
        <v>2.4711696869851731E-2</v>
      </c>
      <c r="V264" s="32">
        <f>Q264/R264</f>
        <v>3.2948929159802307E-3</v>
      </c>
      <c r="W264" s="31">
        <f>P264/O264</f>
        <v>2.5423728813559324E-2</v>
      </c>
      <c r="X264" s="31">
        <f>Q264/(O264+P264)</f>
        <v>3.3057851239669421E-3</v>
      </c>
      <c r="Y264" s="65">
        <f>R264/R$488</f>
        <v>1.7633097934865022E-3</v>
      </c>
      <c r="Z264" s="30">
        <v>625</v>
      </c>
      <c r="AA264" s="30">
        <v>683</v>
      </c>
      <c r="AB264" s="29">
        <v>790</v>
      </c>
      <c r="AC264" s="34">
        <f>Z264/R264</f>
        <v>1.029654036243822</v>
      </c>
      <c r="AD264" s="34">
        <f>AA264/Z264</f>
        <v>1.0928</v>
      </c>
      <c r="AE264" s="34">
        <f>AB264/AA264</f>
        <v>1.1566617862371888</v>
      </c>
      <c r="AF264" s="35">
        <f>AB264/R264</f>
        <v>1.3014827018121911</v>
      </c>
      <c r="AG264" s="29">
        <f>0.6*Z264+0.4*AA264</f>
        <v>648.20000000000005</v>
      </c>
      <c r="AH264" s="54">
        <v>3215</v>
      </c>
      <c r="AI264" s="59">
        <f>AH264/AG264</f>
        <v>4.9598889231718601</v>
      </c>
      <c r="AJ264" s="61">
        <f>AI264/AI$488</f>
        <v>1.0539978542073904</v>
      </c>
    </row>
    <row r="265" spans="1:36" ht="15" customHeight="1" x14ac:dyDescent="0.2">
      <c r="A265" s="28" t="s">
        <v>267</v>
      </c>
      <c r="B265" s="28"/>
      <c r="C265" s="28" t="s">
        <v>123</v>
      </c>
      <c r="D265" s="28">
        <v>23</v>
      </c>
      <c r="E265" s="27"/>
      <c r="F265" s="27"/>
      <c r="G265" s="27" t="s">
        <v>427</v>
      </c>
      <c r="H265" s="27">
        <v>23</v>
      </c>
      <c r="I265" s="27" t="s">
        <v>619</v>
      </c>
      <c r="J265" s="27">
        <v>9</v>
      </c>
      <c r="K265" s="27">
        <v>2</v>
      </c>
      <c r="L265" s="27">
        <v>55</v>
      </c>
      <c r="M265" s="29">
        <v>90</v>
      </c>
      <c r="N265" s="30">
        <v>94</v>
      </c>
      <c r="O265" s="30">
        <v>340</v>
      </c>
      <c r="P265" s="30">
        <v>12</v>
      </c>
      <c r="Q265" s="30">
        <v>231</v>
      </c>
      <c r="R265" s="30">
        <v>583</v>
      </c>
      <c r="S265" s="31">
        <f>R265/N265</f>
        <v>6.2021276595744679</v>
      </c>
      <c r="T265" s="32">
        <f>O265/R265</f>
        <v>0.58319039451114918</v>
      </c>
      <c r="U265" s="32">
        <f>P265/R265</f>
        <v>2.0583190394511151E-2</v>
      </c>
      <c r="V265" s="32">
        <f>Q265/R265</f>
        <v>0.39622641509433965</v>
      </c>
      <c r="W265" s="31">
        <f>P265/O265</f>
        <v>3.5294117647058823E-2</v>
      </c>
      <c r="X265" s="31">
        <f>Q265/(O265+P265)</f>
        <v>0.65625</v>
      </c>
      <c r="Y265" s="65">
        <f>R265/R$488</f>
        <v>1.6935907901196553E-3</v>
      </c>
      <c r="Z265" s="30">
        <v>557</v>
      </c>
      <c r="AA265" s="30">
        <v>778</v>
      </c>
      <c r="AB265" s="29">
        <v>888</v>
      </c>
      <c r="AC265" s="34">
        <f>Z265/R265</f>
        <v>0.95540308747855918</v>
      </c>
      <c r="AD265" s="34">
        <f>AA265/Z265</f>
        <v>1.3967684021543985</v>
      </c>
      <c r="AE265" s="34">
        <f>AB265/AA265</f>
        <v>1.1413881748071979</v>
      </c>
      <c r="AF265" s="35">
        <f>AB265/R265</f>
        <v>1.5231560891938249</v>
      </c>
      <c r="AG265" s="29">
        <f>0.6*Z265+0.4*AA265</f>
        <v>645.40000000000009</v>
      </c>
      <c r="AH265" s="54">
        <v>2526</v>
      </c>
      <c r="AI265" s="59">
        <f>AH265/AG265</f>
        <v>3.9138518748063209</v>
      </c>
      <c r="AJ265" s="61">
        <f>AI265/AI$488</f>
        <v>0.83171045594572801</v>
      </c>
    </row>
    <row r="266" spans="1:36" ht="15" customHeight="1" x14ac:dyDescent="0.2">
      <c r="A266" s="28" t="s">
        <v>245</v>
      </c>
      <c r="B266" s="28"/>
      <c r="C266" s="28" t="s">
        <v>118</v>
      </c>
      <c r="D266" s="28">
        <v>19</v>
      </c>
      <c r="E266" s="27"/>
      <c r="F266" s="27"/>
      <c r="G266" s="27" t="s">
        <v>69</v>
      </c>
      <c r="H266" s="27">
        <v>5</v>
      </c>
      <c r="I266" s="27" t="s">
        <v>621</v>
      </c>
      <c r="J266" s="27">
        <v>7</v>
      </c>
      <c r="K266" s="27">
        <v>2</v>
      </c>
      <c r="L266" s="27">
        <v>54</v>
      </c>
      <c r="M266" s="29">
        <v>111</v>
      </c>
      <c r="N266" s="30">
        <v>128</v>
      </c>
      <c r="O266" s="30">
        <v>152</v>
      </c>
      <c r="P266" s="30">
        <v>293</v>
      </c>
      <c r="Q266" s="30">
        <v>142</v>
      </c>
      <c r="R266" s="30">
        <v>587</v>
      </c>
      <c r="S266" s="31">
        <f>R266/N266</f>
        <v>4.5859375</v>
      </c>
      <c r="T266" s="32">
        <f>O266/R266</f>
        <v>0.25894378194207834</v>
      </c>
      <c r="U266" s="32">
        <f>P266/R266</f>
        <v>0.49914821124361158</v>
      </c>
      <c r="V266" s="32">
        <f>Q266/R266</f>
        <v>0.24190800681431004</v>
      </c>
      <c r="W266" s="31">
        <f>P266/O266</f>
        <v>1.9276315789473684</v>
      </c>
      <c r="X266" s="31">
        <f>Q266/(O266+P266)</f>
        <v>0.31910112359550563</v>
      </c>
      <c r="Y266" s="65">
        <f>R266/R$488</f>
        <v>1.7052106240141296E-3</v>
      </c>
      <c r="Z266" s="30">
        <v>637</v>
      </c>
      <c r="AA266" s="30">
        <v>674</v>
      </c>
      <c r="AB266" s="29">
        <v>700</v>
      </c>
      <c r="AC266" s="34">
        <f>Z266/R266</f>
        <v>1.0851788756388416</v>
      </c>
      <c r="AD266" s="34">
        <f>AA266/Z266</f>
        <v>1.0580847723704867</v>
      </c>
      <c r="AE266" s="34">
        <f>AB266/AA266</f>
        <v>1.0385756676557865</v>
      </c>
      <c r="AF266" s="35">
        <f>AB266/R266</f>
        <v>1.192504258943782</v>
      </c>
      <c r="AG266" s="29">
        <f>0.6*Z266+0.4*AA266</f>
        <v>651.79999999999995</v>
      </c>
      <c r="AH266" s="54">
        <v>2537</v>
      </c>
      <c r="AI266" s="59">
        <f>AH266/AG266</f>
        <v>3.8922982509972388</v>
      </c>
      <c r="AJ266" s="61">
        <f>AI266/AI$488</f>
        <v>0.82713021763856898</v>
      </c>
    </row>
    <row r="267" spans="1:36" ht="15" customHeight="1" x14ac:dyDescent="0.2">
      <c r="A267" s="28" t="s">
        <v>228</v>
      </c>
      <c r="B267" s="28"/>
      <c r="C267" s="28" t="s">
        <v>121</v>
      </c>
      <c r="D267" s="28">
        <v>18</v>
      </c>
      <c r="E267" s="27"/>
      <c r="F267" s="27"/>
      <c r="G267" s="27" t="s">
        <v>126</v>
      </c>
      <c r="H267" s="27">
        <v>20</v>
      </c>
      <c r="I267" s="27" t="s">
        <v>622</v>
      </c>
      <c r="J267" s="27">
        <v>8</v>
      </c>
      <c r="K267" s="27">
        <v>3</v>
      </c>
      <c r="L267" s="27">
        <v>28</v>
      </c>
      <c r="M267" s="29">
        <v>20</v>
      </c>
      <c r="N267" s="30">
        <v>29</v>
      </c>
      <c r="O267" s="30">
        <v>66</v>
      </c>
      <c r="P267" s="30">
        <v>4</v>
      </c>
      <c r="Q267" s="30">
        <v>84</v>
      </c>
      <c r="R267" s="30">
        <v>154</v>
      </c>
      <c r="S267" s="31">
        <f>R267/N267</f>
        <v>5.3103448275862073</v>
      </c>
      <c r="T267" s="32">
        <f>O267/R267</f>
        <v>0.42857142857142855</v>
      </c>
      <c r="U267" s="32">
        <f>P267/R267</f>
        <v>2.5974025974025976E-2</v>
      </c>
      <c r="V267" s="32">
        <f>Q267/R267</f>
        <v>0.54545454545454541</v>
      </c>
      <c r="W267" s="31">
        <f>P267/O267</f>
        <v>6.0606060606060608E-2</v>
      </c>
      <c r="X267" s="31">
        <f>Q267/(O267+P267)</f>
        <v>1.2</v>
      </c>
      <c r="Y267" s="65">
        <f>R267/R$488</f>
        <v>4.4736360493726743E-4</v>
      </c>
      <c r="Z267" s="30">
        <v>237</v>
      </c>
      <c r="AA267" s="30">
        <v>344</v>
      </c>
      <c r="AB267" s="29">
        <v>438</v>
      </c>
      <c r="AC267" s="34">
        <f>Z267/R267</f>
        <v>1.5389610389610389</v>
      </c>
      <c r="AD267" s="34">
        <f>AA267/Z267</f>
        <v>1.4514767932489452</v>
      </c>
      <c r="AE267" s="34">
        <f>AB267/AA267</f>
        <v>1.2732558139534884</v>
      </c>
      <c r="AF267" s="35">
        <f>AB267/R267</f>
        <v>2.8441558441558441</v>
      </c>
      <c r="AG267" s="29">
        <f>0.6*Z267+0.4*AA267</f>
        <v>279.79999999999995</v>
      </c>
      <c r="AH267" s="54">
        <v>1930</v>
      </c>
      <c r="AI267" s="59">
        <f>AH267/AG267</f>
        <v>6.897784131522517</v>
      </c>
      <c r="AJ267" s="61">
        <f>AI267/AI$488</f>
        <v>1.4658089699237014</v>
      </c>
    </row>
    <row r="268" spans="1:36" ht="15" customHeight="1" x14ac:dyDescent="0.2">
      <c r="A268" s="28" t="s">
        <v>121</v>
      </c>
      <c r="B268" s="28"/>
      <c r="C268" s="28" t="s">
        <v>121</v>
      </c>
      <c r="D268" s="28">
        <v>18</v>
      </c>
      <c r="E268" s="27" t="s">
        <v>421</v>
      </c>
      <c r="F268" s="27"/>
      <c r="G268" s="27" t="s">
        <v>126</v>
      </c>
      <c r="H268" s="27">
        <v>20</v>
      </c>
      <c r="I268" s="27" t="s">
        <v>622</v>
      </c>
      <c r="J268" s="27">
        <v>8</v>
      </c>
      <c r="K268" s="27">
        <v>4</v>
      </c>
      <c r="L268" s="27">
        <v>54</v>
      </c>
      <c r="M268" s="29">
        <v>145</v>
      </c>
      <c r="N268" s="30">
        <v>174</v>
      </c>
      <c r="O268" s="30">
        <v>517</v>
      </c>
      <c r="P268" s="30">
        <v>35</v>
      </c>
      <c r="Q268" s="30">
        <v>291</v>
      </c>
      <c r="R268" s="30">
        <v>843</v>
      </c>
      <c r="S268" s="31">
        <f>R268/N268</f>
        <v>4.8448275862068968</v>
      </c>
      <c r="T268" s="32">
        <f>O268/R268</f>
        <v>0.61328588374851722</v>
      </c>
      <c r="U268" s="32">
        <f>P268/R268</f>
        <v>4.151838671411625E-2</v>
      </c>
      <c r="V268" s="32">
        <f>Q268/R268</f>
        <v>0.34519572953736655</v>
      </c>
      <c r="W268" s="31">
        <f>P268/O268</f>
        <v>6.7698259187620888E-2</v>
      </c>
      <c r="X268" s="31">
        <f>Q268/(O268+P268)</f>
        <v>0.52717391304347827</v>
      </c>
      <c r="Y268" s="65">
        <f>R268/R$488</f>
        <v>2.4488799932604961E-3</v>
      </c>
      <c r="Z268" s="30">
        <v>1006</v>
      </c>
      <c r="AA268" s="30">
        <v>1214</v>
      </c>
      <c r="AB268" s="29">
        <v>1535</v>
      </c>
      <c r="AC268" s="34">
        <f>Z268/R268</f>
        <v>1.1933570581257413</v>
      </c>
      <c r="AD268" s="34">
        <f>AA268/Z268</f>
        <v>1.2067594433399602</v>
      </c>
      <c r="AE268" s="34">
        <f>AB268/AA268</f>
        <v>1.2644151565074135</v>
      </c>
      <c r="AF268" s="35">
        <f>AB268/R268</f>
        <v>1.8208778173190985</v>
      </c>
      <c r="AG268" s="29">
        <f>0.6*Z268+0.4*AA268</f>
        <v>1089.2</v>
      </c>
      <c r="AH268" s="54">
        <v>4858</v>
      </c>
      <c r="AI268" s="59">
        <f>AH268/AG268</f>
        <v>4.4601542416452444</v>
      </c>
      <c r="AJ268" s="61">
        <f>AI268/AI$488</f>
        <v>0.9478020723741899</v>
      </c>
    </row>
    <row r="269" spans="1:36" ht="15" customHeight="1" x14ac:dyDescent="0.2">
      <c r="A269" s="28" t="s">
        <v>257</v>
      </c>
      <c r="B269" s="28"/>
      <c r="C269" s="28" t="s">
        <v>123</v>
      </c>
      <c r="D269" s="28">
        <v>23</v>
      </c>
      <c r="E269" s="27"/>
      <c r="F269" s="27"/>
      <c r="G269" s="27" t="s">
        <v>427</v>
      </c>
      <c r="H269" s="27">
        <v>23</v>
      </c>
      <c r="I269" s="27" t="s">
        <v>619</v>
      </c>
      <c r="J269" s="27">
        <v>9</v>
      </c>
      <c r="K269" s="27">
        <v>2</v>
      </c>
      <c r="L269" s="27">
        <v>53</v>
      </c>
      <c r="M269" s="29">
        <v>77</v>
      </c>
      <c r="N269" s="30">
        <v>82</v>
      </c>
      <c r="O269" s="30">
        <v>143</v>
      </c>
      <c r="P269" s="30">
        <v>29</v>
      </c>
      <c r="Q269" s="30">
        <v>277</v>
      </c>
      <c r="R269" s="30">
        <v>449</v>
      </c>
      <c r="S269" s="31">
        <f>R269/N269</f>
        <v>5.475609756097561</v>
      </c>
      <c r="T269" s="32">
        <f>O269/R269</f>
        <v>0.31848552338530067</v>
      </c>
      <c r="U269" s="32">
        <f>P269/R269</f>
        <v>6.4587973273942098E-2</v>
      </c>
      <c r="V269" s="32">
        <f>Q269/R269</f>
        <v>0.61692650334075727</v>
      </c>
      <c r="W269" s="31">
        <f>P269/O269</f>
        <v>0.20279720279720279</v>
      </c>
      <c r="X269" s="31">
        <f>Q269/(O269+P269)</f>
        <v>1.6104651162790697</v>
      </c>
      <c r="Y269" s="65">
        <f>R269/R$488</f>
        <v>1.3043263546547602E-3</v>
      </c>
      <c r="Z269" s="30">
        <v>481</v>
      </c>
      <c r="AA269" s="30">
        <v>505</v>
      </c>
      <c r="AB269" s="29">
        <v>572</v>
      </c>
      <c r="AC269" s="34">
        <f>Z269/R269</f>
        <v>1.0712694877505569</v>
      </c>
      <c r="AD269" s="34">
        <f>AA269/Z269</f>
        <v>1.0498960498960499</v>
      </c>
      <c r="AE269" s="34">
        <f>AB269/AA269</f>
        <v>1.1326732673267326</v>
      </c>
      <c r="AF269" s="35">
        <f>AB269/R269</f>
        <v>1.2739420935412027</v>
      </c>
      <c r="AG269" s="29">
        <f>0.6*Z269+0.4*AA269</f>
        <v>490.59999999999997</v>
      </c>
      <c r="AH269" s="54">
        <v>2927</v>
      </c>
      <c r="AI269" s="59">
        <f>AH269/AG269</f>
        <v>5.9661638809620881</v>
      </c>
      <c r="AJ269" s="61">
        <f>AI269/AI$488</f>
        <v>1.2678356361985381</v>
      </c>
    </row>
    <row r="270" spans="1:36" ht="15" customHeight="1" x14ac:dyDescent="0.2">
      <c r="A270" s="27" t="s">
        <v>585</v>
      </c>
      <c r="B270" s="27"/>
      <c r="C270" s="28" t="s">
        <v>120</v>
      </c>
      <c r="D270" s="28">
        <v>9</v>
      </c>
      <c r="E270" s="27"/>
      <c r="F270" s="27"/>
      <c r="G270" s="27" t="s">
        <v>172</v>
      </c>
      <c r="H270" s="27">
        <v>1</v>
      </c>
      <c r="I270" s="27" t="s">
        <v>618</v>
      </c>
      <c r="J270" s="27">
        <v>6</v>
      </c>
      <c r="K270" s="27">
        <v>6</v>
      </c>
      <c r="L270" s="27">
        <v>40</v>
      </c>
      <c r="M270" s="29">
        <v>406</v>
      </c>
      <c r="N270" s="30">
        <v>422</v>
      </c>
      <c r="O270" s="30">
        <v>104</v>
      </c>
      <c r="P270" s="30">
        <v>570</v>
      </c>
      <c r="Q270" s="30">
        <v>1235</v>
      </c>
      <c r="R270" s="30">
        <v>1909</v>
      </c>
      <c r="S270" s="31">
        <f>R270/N270</f>
        <v>4.5236966824644549</v>
      </c>
      <c r="T270" s="32">
        <f>O270/R270</f>
        <v>5.4478784704033528E-2</v>
      </c>
      <c r="U270" s="32">
        <f>P270/R270</f>
        <v>0.29858564693556838</v>
      </c>
      <c r="V270" s="32">
        <f>Q270/R270</f>
        <v>0.64693556836039812</v>
      </c>
      <c r="W270" s="31">
        <f>P270/O270</f>
        <v>5.4807692307692308</v>
      </c>
      <c r="X270" s="31">
        <f>Q270/(O270+P270)</f>
        <v>1.8323442136498516</v>
      </c>
      <c r="Y270" s="65">
        <f>R270/R$488</f>
        <v>5.5455657261379446E-3</v>
      </c>
      <c r="Z270" s="30">
        <v>2301</v>
      </c>
      <c r="AA270" s="30">
        <v>2841</v>
      </c>
      <c r="AB270" s="29">
        <v>3189</v>
      </c>
      <c r="AC270" s="34">
        <f>Z270/R270</f>
        <v>1.2053431115767417</v>
      </c>
      <c r="AD270" s="34">
        <f>AA270/Z270</f>
        <v>1.2346805736636246</v>
      </c>
      <c r="AE270" s="34">
        <f>AB270/AA270</f>
        <v>1.1224920802534319</v>
      </c>
      <c r="AF270" s="35">
        <f>AB270/R270</f>
        <v>1.6705081194342588</v>
      </c>
      <c r="AG270" s="29">
        <f>0.6*Z270+0.4*AA270</f>
        <v>2517</v>
      </c>
      <c r="AH270" s="54">
        <v>8647</v>
      </c>
      <c r="AI270" s="59">
        <f>AH270/AG270</f>
        <v>3.4354390147000395</v>
      </c>
      <c r="AJ270" s="61">
        <f>AI270/AI$488</f>
        <v>0.730045653409228</v>
      </c>
    </row>
    <row r="271" spans="1:36" ht="15" customHeight="1" x14ac:dyDescent="0.2">
      <c r="A271" s="28" t="s">
        <v>503</v>
      </c>
      <c r="B271" s="28"/>
      <c r="C271" s="28" t="s">
        <v>123</v>
      </c>
      <c r="D271" s="28">
        <v>23</v>
      </c>
      <c r="E271" s="27"/>
      <c r="F271" s="27"/>
      <c r="G271" s="27" t="s">
        <v>30</v>
      </c>
      <c r="H271" s="27">
        <v>8</v>
      </c>
      <c r="I271" s="27" t="s">
        <v>619</v>
      </c>
      <c r="J271" s="27">
        <v>9</v>
      </c>
      <c r="K271" s="27">
        <v>1</v>
      </c>
      <c r="L271" s="27">
        <v>36</v>
      </c>
      <c r="M271" s="29">
        <v>45</v>
      </c>
      <c r="N271" s="30">
        <v>57</v>
      </c>
      <c r="O271" s="30">
        <v>70</v>
      </c>
      <c r="P271" s="30">
        <v>22</v>
      </c>
      <c r="Q271" s="30">
        <v>200</v>
      </c>
      <c r="R271" s="30">
        <v>292</v>
      </c>
      <c r="S271" s="31">
        <f>R271/N271</f>
        <v>5.1228070175438596</v>
      </c>
      <c r="T271" s="32">
        <f>O271/R271</f>
        <v>0.23972602739726026</v>
      </c>
      <c r="U271" s="32">
        <f>P271/R271</f>
        <v>7.5342465753424653E-2</v>
      </c>
      <c r="V271" s="32">
        <f>Q271/R271</f>
        <v>0.68493150684931503</v>
      </c>
      <c r="W271" s="31">
        <f>P271/O271</f>
        <v>0.31428571428571428</v>
      </c>
      <c r="X271" s="31">
        <f>Q271/(O271+P271)</f>
        <v>2.1739130434782608</v>
      </c>
      <c r="Y271" s="65">
        <f>R271/R$488</f>
        <v>8.4824787429663693E-4</v>
      </c>
      <c r="Z271" s="30">
        <v>312</v>
      </c>
      <c r="AA271" s="30">
        <v>367</v>
      </c>
      <c r="AB271" s="29">
        <v>424</v>
      </c>
      <c r="AC271" s="34">
        <f>Z271/R271</f>
        <v>1.0684931506849316</v>
      </c>
      <c r="AD271" s="34">
        <f>AA271/Z271</f>
        <v>1.1762820512820513</v>
      </c>
      <c r="AE271" s="34">
        <f>AB271/AA271</f>
        <v>1.1553133514986376</v>
      </c>
      <c r="AF271" s="35">
        <f>AB271/R271</f>
        <v>1.452054794520548</v>
      </c>
      <c r="AG271" s="29">
        <f>0.6*Z271+0.4*AA271</f>
        <v>334</v>
      </c>
      <c r="AH271" s="54">
        <v>1449</v>
      </c>
      <c r="AI271" s="59">
        <f>AH271/AG271</f>
        <v>4.3383233532934131</v>
      </c>
      <c r="AJ271" s="61">
        <f>AI271/AI$488</f>
        <v>0.92191248152083416</v>
      </c>
    </row>
    <row r="272" spans="1:36" ht="15" customHeight="1" x14ac:dyDescent="0.2">
      <c r="A272" s="27" t="s">
        <v>214</v>
      </c>
      <c r="B272" s="27"/>
      <c r="C272" s="28" t="s">
        <v>113</v>
      </c>
      <c r="D272" s="28">
        <v>16</v>
      </c>
      <c r="E272" s="27"/>
      <c r="F272" s="27"/>
      <c r="G272" s="27" t="s">
        <v>73</v>
      </c>
      <c r="H272" s="27">
        <v>11</v>
      </c>
      <c r="I272" s="27" t="s">
        <v>624</v>
      </c>
      <c r="J272" s="27">
        <v>4</v>
      </c>
      <c r="K272" s="27">
        <v>4</v>
      </c>
      <c r="L272" s="27">
        <v>57</v>
      </c>
      <c r="M272" s="29">
        <v>38</v>
      </c>
      <c r="N272" s="30">
        <v>50</v>
      </c>
      <c r="O272" s="30">
        <v>245</v>
      </c>
      <c r="P272" s="30">
        <v>21</v>
      </c>
      <c r="Q272" s="30">
        <v>0</v>
      </c>
      <c r="R272" s="30">
        <v>266</v>
      </c>
      <c r="S272" s="31">
        <f>R272/N272</f>
        <v>5.32</v>
      </c>
      <c r="T272" s="32">
        <f>O272/R272</f>
        <v>0.92105263157894735</v>
      </c>
      <c r="U272" s="32">
        <f>P272/R272</f>
        <v>7.8947368421052627E-2</v>
      </c>
      <c r="V272" s="32">
        <f>Q272/R272</f>
        <v>0</v>
      </c>
      <c r="W272" s="31">
        <f>P272/O272</f>
        <v>8.5714285714285715E-2</v>
      </c>
      <c r="X272" s="31">
        <f>Q272/(O272+P272)</f>
        <v>0</v>
      </c>
      <c r="Y272" s="65">
        <f>R272/R$488</f>
        <v>7.7271895398255282E-4</v>
      </c>
      <c r="Z272" s="30">
        <v>300</v>
      </c>
      <c r="AA272" s="30">
        <v>323</v>
      </c>
      <c r="AB272" s="29">
        <v>321</v>
      </c>
      <c r="AC272" s="34">
        <f>Z272/R272</f>
        <v>1.1278195488721805</v>
      </c>
      <c r="AD272" s="34">
        <f>AA272/Z272</f>
        <v>1.0766666666666667</v>
      </c>
      <c r="AE272" s="34">
        <f>AB272/AA272</f>
        <v>0.99380804953560375</v>
      </c>
      <c r="AF272" s="35">
        <f>AB272/R272</f>
        <v>1.2067669172932332</v>
      </c>
      <c r="AG272" s="29">
        <f>0.6*Z272+0.4*AA272</f>
        <v>309.20000000000005</v>
      </c>
      <c r="AH272" s="54">
        <v>2034</v>
      </c>
      <c r="AI272" s="59">
        <f>AH272/AG272</f>
        <v>6.578266494178524</v>
      </c>
      <c r="AJ272" s="61">
        <f>AI272/AI$488</f>
        <v>1.3979100896547016</v>
      </c>
    </row>
    <row r="273" spans="1:36" ht="15" customHeight="1" x14ac:dyDescent="0.2">
      <c r="A273" s="27" t="s">
        <v>280</v>
      </c>
      <c r="B273" s="27"/>
      <c r="C273" s="28" t="s">
        <v>110</v>
      </c>
      <c r="D273" s="27">
        <v>26</v>
      </c>
      <c r="E273" s="27"/>
      <c r="F273" s="27"/>
      <c r="G273" s="27" t="s">
        <v>287</v>
      </c>
      <c r="H273" s="27">
        <v>25</v>
      </c>
      <c r="I273" s="27" t="s">
        <v>624</v>
      </c>
      <c r="J273" s="27">
        <v>4</v>
      </c>
      <c r="K273" s="27">
        <v>4</v>
      </c>
      <c r="L273" s="27">
        <v>56</v>
      </c>
      <c r="M273" s="29">
        <v>112</v>
      </c>
      <c r="N273" s="30">
        <v>112</v>
      </c>
      <c r="O273" s="30">
        <v>195</v>
      </c>
      <c r="P273" s="30">
        <v>199</v>
      </c>
      <c r="Q273" s="30">
        <v>214</v>
      </c>
      <c r="R273" s="30">
        <v>608</v>
      </c>
      <c r="S273" s="31">
        <f>R273/N273</f>
        <v>5.4285714285714288</v>
      </c>
      <c r="T273" s="32">
        <f>O273/R273</f>
        <v>0.32072368421052633</v>
      </c>
      <c r="U273" s="32">
        <f>P273/R273</f>
        <v>0.32730263157894735</v>
      </c>
      <c r="V273" s="32">
        <f>Q273/R273</f>
        <v>0.35197368421052633</v>
      </c>
      <c r="W273" s="31">
        <f>P273/O273</f>
        <v>1.0205128205128204</v>
      </c>
      <c r="X273" s="31">
        <f>Q273/(O273+P273)</f>
        <v>0.54314720812182737</v>
      </c>
      <c r="Y273" s="65">
        <f>R273/R$488</f>
        <v>1.7662147519601208E-3</v>
      </c>
      <c r="Z273" s="30">
        <v>686</v>
      </c>
      <c r="AA273" s="30">
        <v>762</v>
      </c>
      <c r="AB273" s="29">
        <v>826</v>
      </c>
      <c r="AC273" s="34">
        <f>Z273/R273</f>
        <v>1.1282894736842106</v>
      </c>
      <c r="AD273" s="34">
        <f>AA273/Z273</f>
        <v>1.1107871720116618</v>
      </c>
      <c r="AE273" s="34">
        <f>AB273/AA273</f>
        <v>1.083989501312336</v>
      </c>
      <c r="AF273" s="35">
        <f>AB273/R273</f>
        <v>1.3585526315789473</v>
      </c>
      <c r="AG273" s="29">
        <f>0.6*Z273+0.4*AA273</f>
        <v>716.4</v>
      </c>
      <c r="AH273" s="54">
        <v>3929</v>
      </c>
      <c r="AI273" s="59">
        <f>AH273/AG273</f>
        <v>5.4843662758235627</v>
      </c>
      <c r="AJ273" s="61">
        <f>AI273/AI$488</f>
        <v>1.1654515606992186</v>
      </c>
    </row>
    <row r="274" spans="1:36" ht="15" customHeight="1" x14ac:dyDescent="0.2">
      <c r="A274" s="27" t="s">
        <v>406</v>
      </c>
      <c r="B274" s="27"/>
      <c r="C274" s="27" t="s">
        <v>333</v>
      </c>
      <c r="D274" s="27">
        <v>29</v>
      </c>
      <c r="E274" s="27"/>
      <c r="F274" s="27"/>
      <c r="G274" s="27" t="s">
        <v>333</v>
      </c>
      <c r="H274" s="27">
        <v>22</v>
      </c>
      <c r="I274" s="27" t="s">
        <v>621</v>
      </c>
      <c r="J274" s="27">
        <v>7</v>
      </c>
      <c r="K274" s="27">
        <v>2</v>
      </c>
      <c r="L274" s="27">
        <v>56</v>
      </c>
      <c r="M274" s="29">
        <v>22</v>
      </c>
      <c r="N274" s="30">
        <v>22</v>
      </c>
      <c r="O274" s="30">
        <v>50</v>
      </c>
      <c r="P274" s="30">
        <v>9</v>
      </c>
      <c r="Q274" s="30">
        <v>73</v>
      </c>
      <c r="R274" s="30">
        <v>132</v>
      </c>
      <c r="S274" s="31">
        <f>R274/N274</f>
        <v>6</v>
      </c>
      <c r="T274" s="32">
        <f>O274/R274</f>
        <v>0.37878787878787878</v>
      </c>
      <c r="U274" s="32">
        <f>P274/R274</f>
        <v>6.8181818181818177E-2</v>
      </c>
      <c r="V274" s="32">
        <f>Q274/R274</f>
        <v>0.55303030303030298</v>
      </c>
      <c r="W274" s="31">
        <f>P274/O274</f>
        <v>0.18</v>
      </c>
      <c r="X274" s="31">
        <f>Q274/(O274+P274)</f>
        <v>1.2372881355932204</v>
      </c>
      <c r="Y274" s="65">
        <f>R274/R$488</f>
        <v>3.8345451851765777E-4</v>
      </c>
      <c r="Z274" s="30">
        <v>118</v>
      </c>
      <c r="AA274" s="30">
        <v>138</v>
      </c>
      <c r="AB274" s="29">
        <v>157</v>
      </c>
      <c r="AC274" s="34">
        <f>Z274/R274</f>
        <v>0.89393939393939392</v>
      </c>
      <c r="AD274" s="34">
        <f>AA274/Z274</f>
        <v>1.1694915254237288</v>
      </c>
      <c r="AE274" s="34">
        <f>AB274/AA274</f>
        <v>1.1376811594202898</v>
      </c>
      <c r="AF274" s="35">
        <f>AB274/R274</f>
        <v>1.1893939393939394</v>
      </c>
      <c r="AG274" s="29">
        <f>0.6*Z274+0.4*AA274</f>
        <v>126</v>
      </c>
      <c r="AH274" s="54">
        <v>1046</v>
      </c>
      <c r="AI274" s="59">
        <f>AH274/AG274</f>
        <v>8.3015873015873023</v>
      </c>
      <c r="AJ274" s="61">
        <f>AI274/AI$488</f>
        <v>1.7641232168547807</v>
      </c>
    </row>
    <row r="275" spans="1:36" ht="15" customHeight="1" x14ac:dyDescent="0.2">
      <c r="A275" s="27" t="s">
        <v>399</v>
      </c>
      <c r="B275" s="27"/>
      <c r="C275" s="27" t="s">
        <v>331</v>
      </c>
      <c r="D275" s="27">
        <v>24</v>
      </c>
      <c r="E275" s="27"/>
      <c r="F275" s="27"/>
      <c r="G275" s="27" t="s">
        <v>331</v>
      </c>
      <c r="H275" s="27">
        <v>17</v>
      </c>
      <c r="I275" s="27" t="s">
        <v>620</v>
      </c>
      <c r="J275" s="27">
        <v>10</v>
      </c>
      <c r="K275" s="27">
        <v>1</v>
      </c>
      <c r="L275" s="27">
        <v>38</v>
      </c>
      <c r="M275" s="29">
        <v>38</v>
      </c>
      <c r="N275" s="30">
        <v>42</v>
      </c>
      <c r="O275" s="30">
        <v>61</v>
      </c>
      <c r="P275" s="30">
        <v>5</v>
      </c>
      <c r="Q275" s="30">
        <v>143</v>
      </c>
      <c r="R275" s="30">
        <v>209</v>
      </c>
      <c r="S275" s="31">
        <f>R275/N275</f>
        <v>4.9761904761904763</v>
      </c>
      <c r="T275" s="32">
        <f>O275/R275</f>
        <v>0.291866028708134</v>
      </c>
      <c r="U275" s="32">
        <f>P275/R275</f>
        <v>2.3923444976076555E-2</v>
      </c>
      <c r="V275" s="32">
        <f>Q275/R275</f>
        <v>0.68421052631578949</v>
      </c>
      <c r="W275" s="31">
        <f>P275/O275</f>
        <v>8.1967213114754092E-2</v>
      </c>
      <c r="X275" s="31">
        <f>Q275/(O275+P275)</f>
        <v>2.1666666666666665</v>
      </c>
      <c r="Y275" s="65">
        <f>R275/R$488</f>
        <v>6.0713632098629146E-4</v>
      </c>
      <c r="Z275" s="30">
        <v>190</v>
      </c>
      <c r="AA275" s="30">
        <v>241</v>
      </c>
      <c r="AB275" s="29">
        <v>248</v>
      </c>
      <c r="AC275" s="34">
        <f>Z275/R275</f>
        <v>0.90909090909090906</v>
      </c>
      <c r="AD275" s="34">
        <f>AA275/Z275</f>
        <v>1.2684210526315789</v>
      </c>
      <c r="AE275" s="34">
        <f>AB275/AA275</f>
        <v>1.0290456431535269</v>
      </c>
      <c r="AF275" s="35">
        <f>AB275/R275</f>
        <v>1.1866028708133971</v>
      </c>
      <c r="AG275" s="29">
        <f>0.6*Z275+0.4*AA275</f>
        <v>210.4</v>
      </c>
      <c r="AH275" s="54">
        <v>1118</v>
      </c>
      <c r="AI275" s="59">
        <f>AH275/AG275</f>
        <v>5.3136882129277563</v>
      </c>
      <c r="AJ275" s="61">
        <f>AI275/AI$488</f>
        <v>1.129181733927088</v>
      </c>
    </row>
    <row r="276" spans="1:36" ht="15" customHeight="1" x14ac:dyDescent="0.2">
      <c r="A276" s="28" t="s">
        <v>141</v>
      </c>
      <c r="B276" s="28"/>
      <c r="C276" s="28" t="s">
        <v>117</v>
      </c>
      <c r="D276" s="28">
        <v>3</v>
      </c>
      <c r="E276" s="27"/>
      <c r="F276" s="27"/>
      <c r="G276" s="27" t="s">
        <v>138</v>
      </c>
      <c r="H276" s="27">
        <v>9</v>
      </c>
      <c r="I276" s="27" t="s">
        <v>619</v>
      </c>
      <c r="J276" s="27">
        <v>9</v>
      </c>
      <c r="K276" s="27">
        <v>3</v>
      </c>
      <c r="L276" s="27">
        <v>26</v>
      </c>
      <c r="M276" s="29">
        <v>11</v>
      </c>
      <c r="N276" s="30">
        <v>11</v>
      </c>
      <c r="O276" s="30">
        <v>32</v>
      </c>
      <c r="P276" s="30">
        <v>7</v>
      </c>
      <c r="Q276" s="30">
        <v>37</v>
      </c>
      <c r="R276" s="30">
        <v>76</v>
      </c>
      <c r="S276" s="31">
        <f>R276/N276</f>
        <v>6.9090909090909092</v>
      </c>
      <c r="T276" s="32">
        <f>O276/R276</f>
        <v>0.42105263157894735</v>
      </c>
      <c r="U276" s="32">
        <f>P276/R276</f>
        <v>9.2105263157894732E-2</v>
      </c>
      <c r="V276" s="32">
        <f>Q276/R276</f>
        <v>0.48684210526315791</v>
      </c>
      <c r="W276" s="31">
        <f>P276/O276</f>
        <v>0.21875</v>
      </c>
      <c r="X276" s="31">
        <f>Q276/(O276+P276)</f>
        <v>0.94871794871794868</v>
      </c>
      <c r="Y276" s="65">
        <f>R276/R$488</f>
        <v>2.207768439950151E-4</v>
      </c>
      <c r="Z276" s="30">
        <v>63</v>
      </c>
      <c r="AA276" s="30">
        <v>90</v>
      </c>
      <c r="AB276" s="29">
        <v>92</v>
      </c>
      <c r="AC276" s="34">
        <f>Z276/R276</f>
        <v>0.82894736842105265</v>
      </c>
      <c r="AD276" s="34">
        <f>AA276/Z276</f>
        <v>1.4285714285714286</v>
      </c>
      <c r="AE276" s="34">
        <f>AB276/AA276</f>
        <v>1.0222222222222221</v>
      </c>
      <c r="AF276" s="35">
        <f>AB276/R276</f>
        <v>1.2105263157894737</v>
      </c>
      <c r="AG276" s="29">
        <f>0.6*Z276+0.4*AA276</f>
        <v>73.8</v>
      </c>
      <c r="AH276" s="54">
        <v>293</v>
      </c>
      <c r="AI276" s="59">
        <f>AH276/AG276</f>
        <v>3.9701897018970191</v>
      </c>
      <c r="AJ276" s="61">
        <f>AI276/AI$488</f>
        <v>0.8436824879375916</v>
      </c>
    </row>
    <row r="277" spans="1:36" ht="15" customHeight="1" x14ac:dyDescent="0.2">
      <c r="A277" s="49" t="s">
        <v>363</v>
      </c>
      <c r="B277" s="27"/>
      <c r="C277" s="27" t="s">
        <v>325</v>
      </c>
      <c r="D277" s="27">
        <v>4</v>
      </c>
      <c r="E277" s="27"/>
      <c r="F277" s="27"/>
      <c r="G277" s="27" t="s">
        <v>30</v>
      </c>
      <c r="H277" s="27">
        <v>8</v>
      </c>
      <c r="I277" s="27"/>
      <c r="J277" s="27"/>
      <c r="K277" s="27">
        <v>1</v>
      </c>
      <c r="L277" s="27" t="s">
        <v>440</v>
      </c>
      <c r="M277" s="30"/>
      <c r="N277" s="30"/>
      <c r="O277" s="30"/>
      <c r="P277" s="30"/>
      <c r="Q277" s="30"/>
      <c r="R277" s="30"/>
      <c r="S277" s="27"/>
      <c r="T277" s="27"/>
      <c r="U277" s="27"/>
      <c r="V277" s="27"/>
      <c r="W277" s="27"/>
      <c r="X277" s="31"/>
      <c r="Y277" s="65"/>
      <c r="Z277" s="30"/>
      <c r="AA277" s="30"/>
      <c r="AB277" s="30"/>
      <c r="AC277" s="34"/>
      <c r="AD277" s="34"/>
      <c r="AE277" s="34"/>
      <c r="AF277" s="35"/>
      <c r="AG277" s="29"/>
      <c r="AH277" s="57"/>
      <c r="AI277" s="59"/>
      <c r="AJ277" s="61"/>
    </row>
    <row r="278" spans="1:36" ht="15" customHeight="1" x14ac:dyDescent="0.2">
      <c r="A278" s="27" t="s">
        <v>340</v>
      </c>
      <c r="B278" s="27">
        <v>5</v>
      </c>
      <c r="C278" s="28" t="s">
        <v>323</v>
      </c>
      <c r="D278" s="28">
        <v>1</v>
      </c>
      <c r="E278" s="27"/>
      <c r="F278" s="27"/>
      <c r="G278" s="27" t="s">
        <v>219</v>
      </c>
      <c r="H278" s="27">
        <v>6</v>
      </c>
      <c r="I278" s="27" t="s">
        <v>618</v>
      </c>
      <c r="J278" s="27">
        <v>6</v>
      </c>
      <c r="K278" s="27">
        <v>7</v>
      </c>
      <c r="L278" s="27">
        <v>18</v>
      </c>
      <c r="M278" s="29">
        <v>109</v>
      </c>
      <c r="N278" s="30">
        <v>124</v>
      </c>
      <c r="O278" s="30">
        <v>322</v>
      </c>
      <c r="P278" s="30">
        <v>178</v>
      </c>
      <c r="Q278" s="30">
        <v>175</v>
      </c>
      <c r="R278" s="30">
        <v>675</v>
      </c>
      <c r="S278" s="31">
        <f>R278/N278</f>
        <v>5.443548387096774</v>
      </c>
      <c r="T278" s="32">
        <f>O278/R278</f>
        <v>0.47703703703703704</v>
      </c>
      <c r="U278" s="32">
        <f>P278/R278</f>
        <v>0.26370370370370372</v>
      </c>
      <c r="V278" s="32">
        <f>Q278/R278</f>
        <v>0.25925925925925924</v>
      </c>
      <c r="W278" s="31">
        <f>P278/O278</f>
        <v>0.55279503105590067</v>
      </c>
      <c r="X278" s="31">
        <f>Q278/(O278+P278)</f>
        <v>0.35</v>
      </c>
      <c r="Y278" s="65">
        <f>R278/R$488</f>
        <v>1.9608469696925685E-3</v>
      </c>
      <c r="Z278" s="30">
        <v>639</v>
      </c>
      <c r="AA278" s="30">
        <v>739</v>
      </c>
      <c r="AB278" s="29">
        <v>702</v>
      </c>
      <c r="AC278" s="34">
        <f>Z278/R278</f>
        <v>0.94666666666666666</v>
      </c>
      <c r="AD278" s="34">
        <f>AA278/Z278</f>
        <v>1.1564945226917058</v>
      </c>
      <c r="AE278" s="34">
        <f>AB278/AA278</f>
        <v>0.94993234100135315</v>
      </c>
      <c r="AF278" s="35">
        <f>AB278/R278</f>
        <v>1.04</v>
      </c>
      <c r="AG278" s="29">
        <f>0.6*Z278+0.4*AA278</f>
        <v>679</v>
      </c>
      <c r="AH278" s="54">
        <v>6094</v>
      </c>
      <c r="AI278" s="59">
        <f>AH278/AG278</f>
        <v>8.9749631811487482</v>
      </c>
      <c r="AJ278" s="61">
        <f>AI278/AI$488</f>
        <v>1.9072185044966057</v>
      </c>
    </row>
    <row r="279" spans="1:36" ht="15" customHeight="1" x14ac:dyDescent="0.2">
      <c r="A279" s="28" t="s">
        <v>34</v>
      </c>
      <c r="B279" s="28"/>
      <c r="C279" s="28" t="s">
        <v>111</v>
      </c>
      <c r="D279" s="28">
        <v>28</v>
      </c>
      <c r="E279" s="27"/>
      <c r="F279" s="27"/>
      <c r="G279" s="27" t="s">
        <v>426</v>
      </c>
      <c r="H279" s="27">
        <v>13</v>
      </c>
      <c r="I279" s="27" t="s">
        <v>111</v>
      </c>
      <c r="J279" s="27">
        <v>5</v>
      </c>
      <c r="K279" s="27">
        <v>5</v>
      </c>
      <c r="L279" s="27">
        <v>5</v>
      </c>
      <c r="M279" s="37">
        <v>34</v>
      </c>
      <c r="N279" s="30">
        <v>30</v>
      </c>
      <c r="O279" s="30">
        <v>236</v>
      </c>
      <c r="P279" s="30">
        <v>8</v>
      </c>
      <c r="Q279" s="30">
        <v>2</v>
      </c>
      <c r="R279" s="30">
        <v>246</v>
      </c>
      <c r="S279" s="31">
        <f>R279/N279</f>
        <v>8.1999999999999993</v>
      </c>
      <c r="T279" s="32">
        <f>O279/R279</f>
        <v>0.95934959349593496</v>
      </c>
      <c r="U279" s="32">
        <f>P279/R279</f>
        <v>3.2520325203252036E-2</v>
      </c>
      <c r="V279" s="32">
        <f>Q279/R279</f>
        <v>8.130081300813009E-3</v>
      </c>
      <c r="W279" s="31">
        <f>P279/O279</f>
        <v>3.3898305084745763E-2</v>
      </c>
      <c r="X279" s="31">
        <f>Q279/(O279+P279)</f>
        <v>8.1967213114754103E-3</v>
      </c>
      <c r="Y279" s="65">
        <f>R279/R$488</f>
        <v>7.1461978451018045E-4</v>
      </c>
      <c r="Z279" s="30">
        <v>292</v>
      </c>
      <c r="AA279" s="30">
        <v>325</v>
      </c>
      <c r="AB279" s="29">
        <v>361</v>
      </c>
      <c r="AC279" s="34">
        <f>Z279/R279</f>
        <v>1.1869918699186992</v>
      </c>
      <c r="AD279" s="34">
        <f>AA279/Z279</f>
        <v>1.1130136986301369</v>
      </c>
      <c r="AE279" s="34">
        <f>AB279/AA279</f>
        <v>1.1107692307692307</v>
      </c>
      <c r="AF279" s="35">
        <f>AB279/R279</f>
        <v>1.467479674796748</v>
      </c>
      <c r="AG279" s="29">
        <f>0.6*Z279+0.4*AA279</f>
        <v>305.2</v>
      </c>
      <c r="AH279" s="54">
        <v>1474</v>
      </c>
      <c r="AI279" s="59">
        <f>AH279/AG279</f>
        <v>4.8296199213630411</v>
      </c>
      <c r="AJ279" s="61">
        <f>AI279/AI$488</f>
        <v>1.0263151277385023</v>
      </c>
    </row>
    <row r="280" spans="1:36" ht="15" customHeight="1" x14ac:dyDescent="0.2">
      <c r="A280" s="28" t="s">
        <v>580</v>
      </c>
      <c r="B280" s="28"/>
      <c r="C280" s="28" t="s">
        <v>121</v>
      </c>
      <c r="D280" s="28">
        <v>18</v>
      </c>
      <c r="E280" s="27" t="s">
        <v>421</v>
      </c>
      <c r="F280" s="27"/>
      <c r="G280" s="27" t="s">
        <v>126</v>
      </c>
      <c r="H280" s="27">
        <v>20</v>
      </c>
      <c r="I280" s="27" t="s">
        <v>622</v>
      </c>
      <c r="J280" s="27">
        <v>8</v>
      </c>
      <c r="K280" s="27">
        <v>3</v>
      </c>
      <c r="L280" s="27">
        <v>27</v>
      </c>
      <c r="M280" s="29">
        <v>34</v>
      </c>
      <c r="N280" s="30">
        <v>34</v>
      </c>
      <c r="O280" s="30">
        <v>82</v>
      </c>
      <c r="P280" s="30">
        <v>41</v>
      </c>
      <c r="Q280" s="30">
        <v>99</v>
      </c>
      <c r="R280" s="30">
        <v>222</v>
      </c>
      <c r="S280" s="31">
        <f>R280/N280</f>
        <v>6.5294117647058822</v>
      </c>
      <c r="T280" s="32">
        <f>O280/R280</f>
        <v>0.36936936936936937</v>
      </c>
      <c r="U280" s="32">
        <f>P280/R280</f>
        <v>0.18468468468468469</v>
      </c>
      <c r="V280" s="32">
        <f>Q280/R280</f>
        <v>0.44594594594594594</v>
      </c>
      <c r="W280" s="31">
        <f>P280/O280</f>
        <v>0.5</v>
      </c>
      <c r="X280" s="31">
        <f>Q280/(O280+P280)</f>
        <v>0.80487804878048785</v>
      </c>
      <c r="Y280" s="65">
        <f>R280/R$488</f>
        <v>6.4490078114333351E-4</v>
      </c>
      <c r="Z280" s="30">
        <v>782</v>
      </c>
      <c r="AA280" s="30">
        <v>734</v>
      </c>
      <c r="AB280" s="29">
        <v>830</v>
      </c>
      <c r="AC280" s="34">
        <f>Z280/R280</f>
        <v>3.5225225225225225</v>
      </c>
      <c r="AD280" s="34">
        <f>AA280/Z280</f>
        <v>0.9386189258312021</v>
      </c>
      <c r="AE280" s="34">
        <f>AB280/AA280</f>
        <v>1.1307901907356948</v>
      </c>
      <c r="AF280" s="35">
        <f>AB280/R280</f>
        <v>3.7387387387387387</v>
      </c>
      <c r="AG280" s="29">
        <f>0.6*Z280+0.4*AA280</f>
        <v>762.8</v>
      </c>
      <c r="AH280" s="54">
        <v>1610</v>
      </c>
      <c r="AI280" s="59">
        <f>AH280/AG280</f>
        <v>2.1106449921342425</v>
      </c>
      <c r="AJ280" s="61">
        <f>AI280/AI$488</f>
        <v>0.44852119214000852</v>
      </c>
    </row>
    <row r="281" spans="1:36" ht="15" customHeight="1" x14ac:dyDescent="0.2">
      <c r="A281" s="28" t="s">
        <v>175</v>
      </c>
      <c r="B281" s="28"/>
      <c r="C281" s="28" t="s">
        <v>120</v>
      </c>
      <c r="D281" s="28">
        <v>9</v>
      </c>
      <c r="E281" s="27"/>
      <c r="F281" s="27"/>
      <c r="G281" s="27" t="s">
        <v>172</v>
      </c>
      <c r="H281" s="27">
        <v>1</v>
      </c>
      <c r="I281" s="27" t="s">
        <v>618</v>
      </c>
      <c r="J281" s="27">
        <v>6</v>
      </c>
      <c r="K281" s="27">
        <v>6</v>
      </c>
      <c r="L281" s="27">
        <v>41</v>
      </c>
      <c r="M281" s="29">
        <v>194</v>
      </c>
      <c r="N281" s="30">
        <v>203</v>
      </c>
      <c r="O281" s="30">
        <v>87</v>
      </c>
      <c r="P281" s="30">
        <v>110</v>
      </c>
      <c r="Q281" s="30">
        <v>686</v>
      </c>
      <c r="R281" s="30">
        <v>883</v>
      </c>
      <c r="S281" s="31">
        <f>R281/N281</f>
        <v>4.3497536945812811</v>
      </c>
      <c r="T281" s="32">
        <f>O281/R281</f>
        <v>9.8527746319365797E-2</v>
      </c>
      <c r="U281" s="32">
        <f>P281/R281</f>
        <v>0.1245753114382786</v>
      </c>
      <c r="V281" s="32">
        <f>Q281/R281</f>
        <v>0.77689694224235561</v>
      </c>
      <c r="W281" s="31">
        <f>P281/O281</f>
        <v>1.264367816091954</v>
      </c>
      <c r="X281" s="31">
        <f>Q281/(O281+P281)</f>
        <v>3.4822335025380711</v>
      </c>
      <c r="Y281" s="65">
        <f>R281/R$488</f>
        <v>2.5650783322052413E-3</v>
      </c>
      <c r="Z281" s="30">
        <v>963</v>
      </c>
      <c r="AA281" s="30">
        <v>1020</v>
      </c>
      <c r="AB281" s="29">
        <v>1066</v>
      </c>
      <c r="AC281" s="34">
        <f>Z281/R281</f>
        <v>1.0906002265005663</v>
      </c>
      <c r="AD281" s="34">
        <f>AA281/Z281</f>
        <v>1.0591900311526479</v>
      </c>
      <c r="AE281" s="34">
        <f>AB281/AA281</f>
        <v>1.0450980392156863</v>
      </c>
      <c r="AF281" s="35">
        <f>AB281/R281</f>
        <v>1.2072480181200453</v>
      </c>
      <c r="AG281" s="29">
        <f>0.6*Z281+0.4*AA281</f>
        <v>985.8</v>
      </c>
      <c r="AH281" s="54">
        <v>3377</v>
      </c>
      <c r="AI281" s="59">
        <f>AH281/AG281</f>
        <v>3.4256441468857783</v>
      </c>
      <c r="AJ281" s="61">
        <f>AI281/AI$488</f>
        <v>0.72796420162303066</v>
      </c>
    </row>
    <row r="282" spans="1:36" ht="15" customHeight="1" x14ac:dyDescent="0.2">
      <c r="A282" s="27" t="s">
        <v>400</v>
      </c>
      <c r="B282" s="27"/>
      <c r="C282" s="27" t="s">
        <v>331</v>
      </c>
      <c r="D282" s="27">
        <v>24</v>
      </c>
      <c r="E282" s="27"/>
      <c r="F282" s="27"/>
      <c r="G282" s="27" t="s">
        <v>331</v>
      </c>
      <c r="H282" s="27">
        <v>17</v>
      </c>
      <c r="I282" s="27" t="s">
        <v>620</v>
      </c>
      <c r="J282" s="27">
        <v>10</v>
      </c>
      <c r="K282" s="27">
        <v>1</v>
      </c>
      <c r="L282" s="27">
        <v>39</v>
      </c>
      <c r="M282" s="29">
        <v>100</v>
      </c>
      <c r="N282" s="30">
        <v>100</v>
      </c>
      <c r="O282" s="30">
        <v>185</v>
      </c>
      <c r="P282" s="30">
        <v>30</v>
      </c>
      <c r="Q282" s="30">
        <v>266</v>
      </c>
      <c r="R282" s="30">
        <v>481</v>
      </c>
      <c r="S282" s="31">
        <f>R282/N282</f>
        <v>4.8099999999999996</v>
      </c>
      <c r="T282" s="32">
        <f>O282/R282</f>
        <v>0.38461538461538464</v>
      </c>
      <c r="U282" s="32">
        <f>P282/R282</f>
        <v>6.2370062370062374E-2</v>
      </c>
      <c r="V282" s="32">
        <f>Q282/R282</f>
        <v>0.55301455301455305</v>
      </c>
      <c r="W282" s="31">
        <f>P282/O282</f>
        <v>0.16216216216216217</v>
      </c>
      <c r="X282" s="31">
        <f>Q282/(O282+P282)</f>
        <v>1.2372093023255815</v>
      </c>
      <c r="Y282" s="65">
        <f>R282/R$488</f>
        <v>1.397285025810556E-3</v>
      </c>
      <c r="Z282" s="30">
        <v>571</v>
      </c>
      <c r="AA282" s="30">
        <v>632</v>
      </c>
      <c r="AB282" s="29">
        <v>792</v>
      </c>
      <c r="AC282" s="34">
        <f>Z282/R282</f>
        <v>1.187110187110187</v>
      </c>
      <c r="AD282" s="34">
        <f>AA282/Z282</f>
        <v>1.1068301225919439</v>
      </c>
      <c r="AE282" s="34">
        <f>AB282/AA282</f>
        <v>1.2531645569620253</v>
      </c>
      <c r="AF282" s="35">
        <f>AB282/R282</f>
        <v>1.6465696465696467</v>
      </c>
      <c r="AG282" s="29">
        <f>0.6*Z282+0.4*AA282</f>
        <v>595.4</v>
      </c>
      <c r="AH282" s="54">
        <v>1987</v>
      </c>
      <c r="AI282" s="59">
        <f>AH282/AG282</f>
        <v>3.3372522673832719</v>
      </c>
      <c r="AJ282" s="61">
        <f>AI282/AI$488</f>
        <v>0.70918054481778492</v>
      </c>
    </row>
    <row r="283" spans="1:36" ht="15" customHeight="1" x14ac:dyDescent="0.2">
      <c r="A283" s="28" t="s">
        <v>499</v>
      </c>
      <c r="B283" s="28"/>
      <c r="C283" s="28" t="s">
        <v>115</v>
      </c>
      <c r="D283" s="28">
        <v>22</v>
      </c>
      <c r="E283" s="27"/>
      <c r="F283" s="27" t="s">
        <v>480</v>
      </c>
      <c r="G283" s="27" t="s">
        <v>435</v>
      </c>
      <c r="H283" s="27">
        <v>26</v>
      </c>
      <c r="I283" s="27" t="s">
        <v>627</v>
      </c>
      <c r="J283" s="27">
        <v>99</v>
      </c>
      <c r="K283" s="28">
        <v>4</v>
      </c>
      <c r="L283" s="27">
        <v>117</v>
      </c>
      <c r="M283" s="29">
        <v>245</v>
      </c>
      <c r="N283" s="30">
        <v>328</v>
      </c>
      <c r="O283" s="30">
        <v>50</v>
      </c>
      <c r="P283" s="30">
        <v>54</v>
      </c>
      <c r="Q283" s="30">
        <v>1510</v>
      </c>
      <c r="R283" s="30">
        <v>1614</v>
      </c>
      <c r="S283" s="31">
        <f>R283/N283</f>
        <v>4.9207317073170733</v>
      </c>
      <c r="T283" s="32">
        <f>O283/R283</f>
        <v>3.0978934324659233E-2</v>
      </c>
      <c r="U283" s="32">
        <f>P283/R283</f>
        <v>3.3457249070631967E-2</v>
      </c>
      <c r="V283" s="32">
        <f>Q283/R283</f>
        <v>0.93556381660470878</v>
      </c>
      <c r="W283" s="31">
        <f>P283/O283</f>
        <v>1.08</v>
      </c>
      <c r="X283" s="31">
        <f>Q283/(O283+P283)</f>
        <v>14.51923076923077</v>
      </c>
      <c r="Y283" s="65">
        <f>R283/R$488</f>
        <v>4.6886029764204524E-3</v>
      </c>
      <c r="Z283" s="30">
        <v>1569</v>
      </c>
      <c r="AA283" s="30">
        <v>1222</v>
      </c>
      <c r="AB283" s="29">
        <v>1092</v>
      </c>
      <c r="AC283" s="34">
        <f>Z283/R283</f>
        <v>0.97211895910780666</v>
      </c>
      <c r="AD283" s="34">
        <f>AA283/Z283</f>
        <v>0.77884002549394515</v>
      </c>
      <c r="AE283" s="34">
        <f>AB283/AA283</f>
        <v>0.8936170212765957</v>
      </c>
      <c r="AF283" s="35">
        <f>AB283/R283</f>
        <v>0.67657992565055758</v>
      </c>
      <c r="AG283" s="29"/>
      <c r="AH283" s="54"/>
      <c r="AI283" s="59"/>
      <c r="AJ283" s="61"/>
    </row>
    <row r="284" spans="1:36" ht="15" customHeight="1" x14ac:dyDescent="0.2">
      <c r="A284" s="28" t="s">
        <v>500</v>
      </c>
      <c r="B284" s="28"/>
      <c r="C284" s="28" t="s">
        <v>110</v>
      </c>
      <c r="D284" s="27">
        <v>26</v>
      </c>
      <c r="E284" s="27"/>
      <c r="F284" s="27" t="s">
        <v>481</v>
      </c>
      <c r="G284" s="27" t="s">
        <v>287</v>
      </c>
      <c r="H284" s="27">
        <v>25</v>
      </c>
      <c r="I284" s="27" t="s">
        <v>624</v>
      </c>
      <c r="J284" s="27">
        <v>4</v>
      </c>
      <c r="K284" s="28">
        <v>4</v>
      </c>
      <c r="L284" s="27">
        <v>65</v>
      </c>
      <c r="M284" s="29">
        <v>190</v>
      </c>
      <c r="N284" s="30">
        <v>205</v>
      </c>
      <c r="O284" s="30">
        <v>334</v>
      </c>
      <c r="P284" s="30">
        <v>277</v>
      </c>
      <c r="Q284" s="30">
        <v>445</v>
      </c>
      <c r="R284" s="30">
        <v>1056</v>
      </c>
      <c r="S284" s="31">
        <f>R284/N284</f>
        <v>5.1512195121951221</v>
      </c>
      <c r="T284" s="32">
        <f>O284/R284</f>
        <v>0.31628787878787878</v>
      </c>
      <c r="U284" s="32">
        <f>P284/R284</f>
        <v>0.26231060606060608</v>
      </c>
      <c r="V284" s="32">
        <f>Q284/R284</f>
        <v>0.42140151515151514</v>
      </c>
      <c r="W284" s="31">
        <f>P284/O284</f>
        <v>0.8293413173652695</v>
      </c>
      <c r="X284" s="31">
        <f>Q284/(O284+P284)</f>
        <v>0.72831423895253677</v>
      </c>
      <c r="Y284" s="65">
        <f>R284/R$488</f>
        <v>3.0676361481412622E-3</v>
      </c>
      <c r="Z284" s="30">
        <v>1353</v>
      </c>
      <c r="AA284" s="30">
        <v>1552</v>
      </c>
      <c r="AB284" s="29">
        <v>1604</v>
      </c>
      <c r="AC284" s="34">
        <f>Z284/R284</f>
        <v>1.28125</v>
      </c>
      <c r="AD284" s="34">
        <f>AA284/Z284</f>
        <v>1.147080561714708</v>
      </c>
      <c r="AE284" s="34">
        <f>AB284/AA284</f>
        <v>1.0335051546391754</v>
      </c>
      <c r="AF284" s="35">
        <f>AB284/R284</f>
        <v>1.518939393939394</v>
      </c>
      <c r="AG284" s="29">
        <f>0.6*Z284+0.4*AA284</f>
        <v>1432.6</v>
      </c>
      <c r="AH284" s="54">
        <v>6396</v>
      </c>
      <c r="AI284" s="59">
        <f>AH284/AG284</f>
        <v>4.4646098003629771</v>
      </c>
      <c r="AJ284" s="61">
        <f>AI284/AI$488</f>
        <v>0.94874889787785088</v>
      </c>
    </row>
    <row r="285" spans="1:36" ht="15" customHeight="1" x14ac:dyDescent="0.2">
      <c r="A285" s="27" t="s">
        <v>194</v>
      </c>
      <c r="B285" s="27"/>
      <c r="C285" s="28" t="s">
        <v>35</v>
      </c>
      <c r="D285" s="28">
        <v>11</v>
      </c>
      <c r="E285" s="27"/>
      <c r="F285" s="27"/>
      <c r="G285" s="27" t="s">
        <v>106</v>
      </c>
      <c r="H285" s="27">
        <v>12</v>
      </c>
      <c r="I285" s="27" t="s">
        <v>111</v>
      </c>
      <c r="J285" s="27">
        <v>5</v>
      </c>
      <c r="K285" s="27">
        <v>6</v>
      </c>
      <c r="L285" s="27">
        <v>42</v>
      </c>
      <c r="M285" s="29">
        <v>48</v>
      </c>
      <c r="N285" s="30">
        <v>53</v>
      </c>
      <c r="O285" s="30">
        <v>175</v>
      </c>
      <c r="P285" s="30">
        <v>16</v>
      </c>
      <c r="Q285" s="30">
        <v>39</v>
      </c>
      <c r="R285" s="30">
        <v>230</v>
      </c>
      <c r="S285" s="31">
        <f>R285/N285</f>
        <v>4.3396226415094343</v>
      </c>
      <c r="T285" s="32">
        <f>O285/R285</f>
        <v>0.76086956521739135</v>
      </c>
      <c r="U285" s="32">
        <f>P285/R285</f>
        <v>6.9565217391304349E-2</v>
      </c>
      <c r="V285" s="32">
        <f>Q285/R285</f>
        <v>0.16956521739130434</v>
      </c>
      <c r="W285" s="31">
        <f>P285/O285</f>
        <v>9.1428571428571428E-2</v>
      </c>
      <c r="X285" s="31">
        <f>Q285/(O285+P285)</f>
        <v>0.20418848167539266</v>
      </c>
      <c r="Y285" s="65">
        <f>R285/R$488</f>
        <v>6.6814044893228253E-4</v>
      </c>
      <c r="Z285" s="30">
        <v>252</v>
      </c>
      <c r="AA285" s="30">
        <v>320</v>
      </c>
      <c r="AB285" s="29">
        <v>330</v>
      </c>
      <c r="AC285" s="34">
        <f>Z285/R285</f>
        <v>1.0956521739130434</v>
      </c>
      <c r="AD285" s="34">
        <f>AA285/Z285</f>
        <v>1.2698412698412698</v>
      </c>
      <c r="AE285" s="34">
        <f>AB285/AA285</f>
        <v>1.03125</v>
      </c>
      <c r="AF285" s="35">
        <f>AB285/R285</f>
        <v>1.4347826086956521</v>
      </c>
      <c r="AG285" s="29">
        <f>0.6*Z285+0.4*AA285</f>
        <v>279.2</v>
      </c>
      <c r="AH285" s="54">
        <v>1621</v>
      </c>
      <c r="AI285" s="59">
        <f>AH285/AG285</f>
        <v>5.8058739255014329</v>
      </c>
      <c r="AJ285" s="61">
        <f>AI285/AI$488</f>
        <v>1.233773327198584</v>
      </c>
    </row>
    <row r="286" spans="1:36" ht="15" customHeight="1" x14ac:dyDescent="0.2">
      <c r="A286" s="28" t="s">
        <v>70</v>
      </c>
      <c r="B286" s="28"/>
      <c r="C286" s="28" t="s">
        <v>111</v>
      </c>
      <c r="D286" s="28">
        <v>28</v>
      </c>
      <c r="E286" s="27"/>
      <c r="F286" s="27"/>
      <c r="G286" s="27" t="s">
        <v>426</v>
      </c>
      <c r="H286" s="27">
        <v>13</v>
      </c>
      <c r="I286" s="27" t="s">
        <v>111</v>
      </c>
      <c r="J286" s="27">
        <v>5</v>
      </c>
      <c r="K286" s="27">
        <v>5</v>
      </c>
      <c r="L286" s="27">
        <v>6</v>
      </c>
      <c r="M286" s="29">
        <v>57</v>
      </c>
      <c r="N286" s="30">
        <v>68</v>
      </c>
      <c r="O286" s="30">
        <v>109</v>
      </c>
      <c r="P286" s="30">
        <v>25</v>
      </c>
      <c r="Q286" s="30">
        <v>214</v>
      </c>
      <c r="R286" s="30">
        <v>348</v>
      </c>
      <c r="S286" s="31">
        <f>R286/N286</f>
        <v>5.117647058823529</v>
      </c>
      <c r="T286" s="32">
        <f>O286/R286</f>
        <v>0.31321839080459768</v>
      </c>
      <c r="U286" s="32">
        <f>P286/R286</f>
        <v>7.183908045977011E-2</v>
      </c>
      <c r="V286" s="32">
        <f>Q286/R286</f>
        <v>0.61494252873563215</v>
      </c>
      <c r="W286" s="31">
        <f>P286/O286</f>
        <v>0.22935779816513763</v>
      </c>
      <c r="X286" s="31">
        <f>Q286/(O286+P286)</f>
        <v>1.5970149253731343</v>
      </c>
      <c r="Y286" s="65">
        <f>R286/R$488</f>
        <v>1.0109255488192797E-3</v>
      </c>
      <c r="Z286" s="30">
        <v>374</v>
      </c>
      <c r="AA286" s="30">
        <v>403</v>
      </c>
      <c r="AB286" s="29">
        <v>435</v>
      </c>
      <c r="AC286" s="34">
        <f>Z286/R286</f>
        <v>1.0747126436781609</v>
      </c>
      <c r="AD286" s="34">
        <f>AA286/Z286</f>
        <v>1.0775401069518717</v>
      </c>
      <c r="AE286" s="34">
        <f>AB286/AA286</f>
        <v>1.0794044665012408</v>
      </c>
      <c r="AF286" s="35">
        <f>AB286/R286</f>
        <v>1.25</v>
      </c>
      <c r="AG286" s="29">
        <f>0.6*Z286+0.4*AA286</f>
        <v>385.6</v>
      </c>
      <c r="AH286" s="54">
        <v>1657</v>
      </c>
      <c r="AI286" s="59">
        <f>AH286/AG286</f>
        <v>4.2971991701244807</v>
      </c>
      <c r="AJ286" s="61">
        <f>AI286/AI$488</f>
        <v>0.91317341468133584</v>
      </c>
    </row>
    <row r="287" spans="1:36" ht="15" customHeight="1" x14ac:dyDescent="0.2">
      <c r="A287" s="28" t="s">
        <v>301</v>
      </c>
      <c r="B287" s="28"/>
      <c r="C287" s="28" t="s">
        <v>119</v>
      </c>
      <c r="D287" s="28">
        <v>31</v>
      </c>
      <c r="E287" s="27"/>
      <c r="F287" s="27"/>
      <c r="G287" s="27" t="s">
        <v>332</v>
      </c>
      <c r="H287" s="27">
        <v>18</v>
      </c>
      <c r="I287" s="27" t="s">
        <v>620</v>
      </c>
      <c r="J287" s="27">
        <v>10</v>
      </c>
      <c r="K287" s="27">
        <v>3</v>
      </c>
      <c r="L287" s="27">
        <v>31</v>
      </c>
      <c r="M287" s="29">
        <v>42</v>
      </c>
      <c r="N287" s="30">
        <v>48</v>
      </c>
      <c r="O287" s="30">
        <v>61</v>
      </c>
      <c r="P287" s="30">
        <v>8</v>
      </c>
      <c r="Q287" s="30">
        <v>130</v>
      </c>
      <c r="R287" s="30">
        <v>199</v>
      </c>
      <c r="S287" s="31">
        <f>R287/N287</f>
        <v>4.145833333333333</v>
      </c>
      <c r="T287" s="32">
        <f>O287/R287</f>
        <v>0.30653266331658291</v>
      </c>
      <c r="U287" s="32">
        <f>P287/R287</f>
        <v>4.0201005025125629E-2</v>
      </c>
      <c r="V287" s="32">
        <f>Q287/R287</f>
        <v>0.65326633165829151</v>
      </c>
      <c r="W287" s="31">
        <f>P287/O287</f>
        <v>0.13114754098360656</v>
      </c>
      <c r="X287" s="31">
        <f>Q287/(O287+P287)</f>
        <v>1.8840579710144927</v>
      </c>
      <c r="Y287" s="65">
        <f>R287/R$488</f>
        <v>5.7808673625010527E-4</v>
      </c>
      <c r="Z287" s="30">
        <v>221</v>
      </c>
      <c r="AA287" s="30">
        <v>289</v>
      </c>
      <c r="AB287" s="29">
        <v>282</v>
      </c>
      <c r="AC287" s="34">
        <f>Z287/R287</f>
        <v>1.1105527638190955</v>
      </c>
      <c r="AD287" s="34">
        <f>AA287/Z287</f>
        <v>1.3076923076923077</v>
      </c>
      <c r="AE287" s="34">
        <f>AB287/AA287</f>
        <v>0.97577854671280273</v>
      </c>
      <c r="AF287" s="35">
        <f>AB287/R287</f>
        <v>1.4170854271356783</v>
      </c>
      <c r="AG287" s="29">
        <f>0.6*Z287+0.4*AA287</f>
        <v>248.2</v>
      </c>
      <c r="AH287" s="54">
        <v>1313</v>
      </c>
      <c r="AI287" s="59">
        <f>AH287/AG287</f>
        <v>5.2900886381950043</v>
      </c>
      <c r="AJ287" s="61">
        <f>AI287/AI$488</f>
        <v>1.1241667221972242</v>
      </c>
    </row>
    <row r="288" spans="1:36" ht="15" customHeight="1" x14ac:dyDescent="0.2">
      <c r="A288" s="28" t="s">
        <v>77</v>
      </c>
      <c r="B288" s="28"/>
      <c r="C288" s="27" t="s">
        <v>113</v>
      </c>
      <c r="D288" s="28">
        <v>16</v>
      </c>
      <c r="E288" s="27"/>
      <c r="F288" s="27"/>
      <c r="G288" s="27" t="s">
        <v>73</v>
      </c>
      <c r="H288" s="27">
        <v>11</v>
      </c>
      <c r="I288" s="27" t="s">
        <v>624</v>
      </c>
      <c r="J288" s="27">
        <v>4</v>
      </c>
      <c r="K288" s="27">
        <v>4</v>
      </c>
      <c r="L288" s="27">
        <v>64</v>
      </c>
      <c r="M288" s="29">
        <v>56</v>
      </c>
      <c r="N288" s="30">
        <v>59</v>
      </c>
      <c r="O288" s="30">
        <v>282</v>
      </c>
      <c r="P288" s="30">
        <v>47</v>
      </c>
      <c r="Q288" s="30">
        <v>35</v>
      </c>
      <c r="R288" s="30">
        <v>364</v>
      </c>
      <c r="S288" s="31">
        <f>R288/N288</f>
        <v>6.1694915254237293</v>
      </c>
      <c r="T288" s="32">
        <f>O288/R288</f>
        <v>0.77472527472527475</v>
      </c>
      <c r="U288" s="32">
        <f>P288/R288</f>
        <v>0.12912087912087913</v>
      </c>
      <c r="V288" s="32">
        <f>Q288/R288</f>
        <v>9.6153846153846159E-2</v>
      </c>
      <c r="W288" s="31">
        <f>P288/O288</f>
        <v>0.16666666666666666</v>
      </c>
      <c r="X288" s="31">
        <f>Q288/(O288+P288)</f>
        <v>0.10638297872340426</v>
      </c>
      <c r="Y288" s="65">
        <f>R288/R$488</f>
        <v>1.0574048843971775E-3</v>
      </c>
      <c r="Z288" s="30">
        <v>373</v>
      </c>
      <c r="AA288" s="30">
        <v>384</v>
      </c>
      <c r="AB288" s="29">
        <v>438</v>
      </c>
      <c r="AC288" s="34">
        <f>Z288/R288</f>
        <v>1.0247252747252746</v>
      </c>
      <c r="AD288" s="34">
        <f>AA288/Z288</f>
        <v>1.0294906166219839</v>
      </c>
      <c r="AE288" s="34">
        <f>AB288/AA288</f>
        <v>1.140625</v>
      </c>
      <c r="AF288" s="35">
        <f>AB288/R288</f>
        <v>1.2032967032967032</v>
      </c>
      <c r="AG288" s="29">
        <f>0.6*Z288+0.4*AA288</f>
        <v>377.4</v>
      </c>
      <c r="AH288" s="54">
        <v>4527</v>
      </c>
      <c r="AI288" s="59">
        <f>AH288/AG288</f>
        <v>11.99523052464229</v>
      </c>
      <c r="AJ288" s="61">
        <f>AI288/AI$488</f>
        <v>2.5490383816117337</v>
      </c>
    </row>
    <row r="289" spans="1:36" ht="15" customHeight="1" x14ac:dyDescent="0.2">
      <c r="A289" s="27" t="s">
        <v>401</v>
      </c>
      <c r="B289" s="27"/>
      <c r="C289" s="27" t="s">
        <v>331</v>
      </c>
      <c r="D289" s="27">
        <v>24</v>
      </c>
      <c r="E289" s="27"/>
      <c r="F289" s="27"/>
      <c r="G289" s="27" t="s">
        <v>331</v>
      </c>
      <c r="H289" s="27">
        <v>17</v>
      </c>
      <c r="I289" s="27" t="s">
        <v>620</v>
      </c>
      <c r="J289" s="27">
        <v>10</v>
      </c>
      <c r="K289" s="27">
        <v>1</v>
      </c>
      <c r="L289" s="27">
        <v>42</v>
      </c>
      <c r="M289" s="29">
        <v>30</v>
      </c>
      <c r="N289" s="30">
        <v>30</v>
      </c>
      <c r="O289" s="30">
        <v>68</v>
      </c>
      <c r="P289" s="30">
        <v>4</v>
      </c>
      <c r="Q289" s="30">
        <v>93</v>
      </c>
      <c r="R289" s="30">
        <v>165</v>
      </c>
      <c r="S289" s="31">
        <f>R289/N289</f>
        <v>5.5</v>
      </c>
      <c r="T289" s="32">
        <f>O289/R289</f>
        <v>0.41212121212121211</v>
      </c>
      <c r="U289" s="32">
        <f>P289/R289</f>
        <v>2.4242424242424242E-2</v>
      </c>
      <c r="V289" s="32">
        <f>Q289/R289</f>
        <v>0.5636363636363636</v>
      </c>
      <c r="W289" s="31">
        <f>P289/O289</f>
        <v>5.8823529411764705E-2</v>
      </c>
      <c r="X289" s="31">
        <f>Q289/(O289+P289)</f>
        <v>1.2916666666666667</v>
      </c>
      <c r="Y289" s="65">
        <f>R289/R$488</f>
        <v>4.7931814814707225E-4</v>
      </c>
      <c r="Z289" s="30">
        <v>154</v>
      </c>
      <c r="AA289" s="30">
        <v>204</v>
      </c>
      <c r="AB289" s="29">
        <v>235</v>
      </c>
      <c r="AC289" s="34">
        <f>Z289/R289</f>
        <v>0.93333333333333335</v>
      </c>
      <c r="AD289" s="34">
        <f>AA289/Z289</f>
        <v>1.3246753246753247</v>
      </c>
      <c r="AE289" s="34">
        <f>AB289/AA289</f>
        <v>1.1519607843137254</v>
      </c>
      <c r="AF289" s="35">
        <f>AB289/R289</f>
        <v>1.4242424242424243</v>
      </c>
      <c r="AG289" s="29">
        <f>0.6*Z289+0.4*AA289</f>
        <v>174</v>
      </c>
      <c r="AH289" s="54">
        <v>540</v>
      </c>
      <c r="AI289" s="59">
        <f>AH289/AG289</f>
        <v>3.103448275862069</v>
      </c>
      <c r="AJ289" s="61">
        <f>AI289/AI$488</f>
        <v>0.65949618511021335</v>
      </c>
    </row>
    <row r="290" spans="1:36" ht="15" customHeight="1" x14ac:dyDescent="0.2">
      <c r="A290" s="27" t="s">
        <v>364</v>
      </c>
      <c r="B290" s="27"/>
      <c r="C290" s="27" t="s">
        <v>325</v>
      </c>
      <c r="D290" s="27">
        <v>4</v>
      </c>
      <c r="E290" s="27"/>
      <c r="F290" s="27"/>
      <c r="G290" s="27" t="s">
        <v>331</v>
      </c>
      <c r="H290" s="27">
        <v>17</v>
      </c>
      <c r="I290" s="27" t="s">
        <v>620</v>
      </c>
      <c r="J290" s="27">
        <v>10</v>
      </c>
      <c r="K290" s="27">
        <v>1</v>
      </c>
      <c r="L290" s="27">
        <v>44</v>
      </c>
      <c r="M290" s="29">
        <v>132</v>
      </c>
      <c r="N290" s="30">
        <v>132</v>
      </c>
      <c r="O290" s="30">
        <v>596</v>
      </c>
      <c r="P290" s="30">
        <v>27</v>
      </c>
      <c r="Q290" s="30">
        <v>9</v>
      </c>
      <c r="R290" s="30">
        <v>632</v>
      </c>
      <c r="S290" s="31">
        <f>R290/N290</f>
        <v>4.7878787878787881</v>
      </c>
      <c r="T290" s="32">
        <f>O290/R290</f>
        <v>0.94303797468354433</v>
      </c>
      <c r="U290" s="32">
        <f>P290/R290</f>
        <v>4.2721518987341771E-2</v>
      </c>
      <c r="V290" s="32">
        <f>Q290/R290</f>
        <v>1.4240506329113924E-2</v>
      </c>
      <c r="W290" s="31">
        <f>P290/O290</f>
        <v>4.5302013422818789E-2</v>
      </c>
      <c r="X290" s="31">
        <f>Q290/(O290+P290)</f>
        <v>1.4446227929373997E-2</v>
      </c>
      <c r="Y290" s="65">
        <f>R290/R$488</f>
        <v>1.8359337553269675E-3</v>
      </c>
      <c r="Z290" s="30">
        <v>682</v>
      </c>
      <c r="AA290" s="30">
        <v>869</v>
      </c>
      <c r="AB290" s="29">
        <v>944</v>
      </c>
      <c r="AC290" s="34">
        <f>Z290/R290</f>
        <v>1.0791139240506329</v>
      </c>
      <c r="AD290" s="34">
        <f>AA290/Z290</f>
        <v>1.2741935483870968</v>
      </c>
      <c r="AE290" s="34">
        <f>AB290/AA290</f>
        <v>1.0863060989643267</v>
      </c>
      <c r="AF290" s="35">
        <f>AB290/R290</f>
        <v>1.4936708860759493</v>
      </c>
      <c r="AG290" s="29">
        <f>0.6*Z290+0.4*AA290</f>
        <v>756.8</v>
      </c>
      <c r="AH290" s="54">
        <v>4124</v>
      </c>
      <c r="AI290" s="59">
        <f>AH290/AG290</f>
        <v>5.4492600422832984</v>
      </c>
      <c r="AJ290" s="61">
        <f>AI290/AI$488</f>
        <v>1.1579913341913477</v>
      </c>
    </row>
    <row r="291" spans="1:36" ht="15" customHeight="1" x14ac:dyDescent="0.2">
      <c r="A291" s="27" t="s">
        <v>20</v>
      </c>
      <c r="B291" s="27"/>
      <c r="C291" s="27" t="s">
        <v>121</v>
      </c>
      <c r="D291" s="28">
        <v>18</v>
      </c>
      <c r="E291" s="27"/>
      <c r="F291" s="27"/>
      <c r="G291" s="27" t="s">
        <v>428</v>
      </c>
      <c r="H291" s="27">
        <v>19</v>
      </c>
      <c r="I291" s="27" t="s">
        <v>622</v>
      </c>
      <c r="J291" s="27">
        <v>8</v>
      </c>
      <c r="K291" s="27">
        <v>4</v>
      </c>
      <c r="L291" s="27">
        <v>58</v>
      </c>
      <c r="M291" s="29">
        <v>58</v>
      </c>
      <c r="N291" s="30">
        <v>58</v>
      </c>
      <c r="O291" s="30">
        <v>63</v>
      </c>
      <c r="P291" s="30">
        <v>9</v>
      </c>
      <c r="Q291" s="30">
        <v>304</v>
      </c>
      <c r="R291" s="30">
        <v>376</v>
      </c>
      <c r="S291" s="31">
        <f>R291/N291</f>
        <v>6.4827586206896548</v>
      </c>
      <c r="T291" s="32">
        <f>O291/R291</f>
        <v>0.16755319148936171</v>
      </c>
      <c r="U291" s="32">
        <f>P291/R291</f>
        <v>2.3936170212765957E-2</v>
      </c>
      <c r="V291" s="32">
        <f>Q291/R291</f>
        <v>0.80851063829787229</v>
      </c>
      <c r="W291" s="31">
        <f>P291/O291</f>
        <v>0.14285714285714285</v>
      </c>
      <c r="X291" s="31">
        <f>Q291/(O291+P291)</f>
        <v>4.2222222222222223</v>
      </c>
      <c r="Y291" s="65">
        <f>R291/R$488</f>
        <v>1.092264386080601E-3</v>
      </c>
      <c r="Z291" s="30">
        <v>631</v>
      </c>
      <c r="AA291" s="30">
        <v>933</v>
      </c>
      <c r="AB291" s="29">
        <v>1123</v>
      </c>
      <c r="AC291" s="34">
        <f>Z291/R291</f>
        <v>1.678191489361702</v>
      </c>
      <c r="AD291" s="34">
        <f>AA291/Z291</f>
        <v>1.4786053882725831</v>
      </c>
      <c r="AE291" s="34">
        <f>AB291/AA291</f>
        <v>1.2036441586280815</v>
      </c>
      <c r="AF291" s="35">
        <f>AB291/R291</f>
        <v>2.9867021276595747</v>
      </c>
      <c r="AG291" s="29">
        <f>0.6*Z291+0.4*AA291</f>
        <v>751.8</v>
      </c>
      <c r="AH291" s="54">
        <v>7659</v>
      </c>
      <c r="AI291" s="59">
        <f>AH291/AG291</f>
        <v>10.18754988028731</v>
      </c>
      <c r="AJ291" s="61">
        <f>AI291/AI$488</f>
        <v>2.164898424093503</v>
      </c>
    </row>
    <row r="292" spans="1:36" ht="15" customHeight="1" x14ac:dyDescent="0.2">
      <c r="A292" s="28" t="s">
        <v>229</v>
      </c>
      <c r="B292" s="28"/>
      <c r="C292" s="28" t="s">
        <v>121</v>
      </c>
      <c r="D292" s="28">
        <v>18</v>
      </c>
      <c r="E292" s="27"/>
      <c r="F292" s="27"/>
      <c r="G292" s="27" t="s">
        <v>126</v>
      </c>
      <c r="H292" s="27">
        <v>20</v>
      </c>
      <c r="I292" s="27" t="s">
        <v>622</v>
      </c>
      <c r="J292" s="27">
        <v>8</v>
      </c>
      <c r="K292" s="27">
        <v>4</v>
      </c>
      <c r="L292" s="27">
        <v>59</v>
      </c>
      <c r="M292" s="29">
        <v>36</v>
      </c>
      <c r="N292" s="30">
        <v>48</v>
      </c>
      <c r="O292" s="30">
        <v>133</v>
      </c>
      <c r="P292" s="30">
        <v>7</v>
      </c>
      <c r="Q292" s="30">
        <v>157</v>
      </c>
      <c r="R292" s="30">
        <v>297</v>
      </c>
      <c r="S292" s="31">
        <f>R292/N292</f>
        <v>6.1875</v>
      </c>
      <c r="T292" s="32">
        <f>O292/R292</f>
        <v>0.44781144781144783</v>
      </c>
      <c r="U292" s="32">
        <f>P292/R292</f>
        <v>2.3569023569023569E-2</v>
      </c>
      <c r="V292" s="32">
        <f>Q292/R292</f>
        <v>0.52861952861952866</v>
      </c>
      <c r="W292" s="31">
        <f>P292/O292</f>
        <v>5.2631578947368418E-2</v>
      </c>
      <c r="X292" s="31">
        <f>Q292/(O292+P292)</f>
        <v>1.1214285714285714</v>
      </c>
      <c r="Y292" s="65">
        <f>R292/R$488</f>
        <v>8.6277266666473008E-4</v>
      </c>
      <c r="Z292" s="30">
        <v>346</v>
      </c>
      <c r="AA292" s="30">
        <v>376</v>
      </c>
      <c r="AB292" s="29">
        <v>508</v>
      </c>
      <c r="AC292" s="34">
        <f>Z292/R292</f>
        <v>1.164983164983165</v>
      </c>
      <c r="AD292" s="34">
        <f>AA292/Z292</f>
        <v>1.0867052023121386</v>
      </c>
      <c r="AE292" s="34">
        <f>AB292/AA292</f>
        <v>1.3510638297872339</v>
      </c>
      <c r="AF292" s="35">
        <f>AB292/R292</f>
        <v>1.7104377104377104</v>
      </c>
      <c r="AG292" s="29">
        <f>0.6*Z292+0.4*AA292</f>
        <v>358</v>
      </c>
      <c r="AH292" s="54">
        <v>2382</v>
      </c>
      <c r="AI292" s="59">
        <f>AH292/AG292</f>
        <v>6.6536312849162007</v>
      </c>
      <c r="AJ292" s="61">
        <f>AI292/AI$488</f>
        <v>1.4139254337381537</v>
      </c>
    </row>
    <row r="293" spans="1:36" ht="15" customHeight="1" x14ac:dyDescent="0.2">
      <c r="A293" s="28" t="s">
        <v>250</v>
      </c>
      <c r="B293" s="28"/>
      <c r="C293" s="28" t="s">
        <v>115</v>
      </c>
      <c r="D293" s="28">
        <v>22</v>
      </c>
      <c r="E293" s="27"/>
      <c r="F293" s="27"/>
      <c r="G293" s="27" t="s">
        <v>428</v>
      </c>
      <c r="H293" s="27">
        <v>19</v>
      </c>
      <c r="I293" s="27" t="s">
        <v>622</v>
      </c>
      <c r="J293" s="27">
        <v>8</v>
      </c>
      <c r="K293" s="27">
        <v>4</v>
      </c>
      <c r="L293" s="27">
        <v>61</v>
      </c>
      <c r="M293" s="29">
        <v>37</v>
      </c>
      <c r="N293" s="30">
        <v>41</v>
      </c>
      <c r="O293" s="30">
        <v>231</v>
      </c>
      <c r="P293" s="30">
        <v>5</v>
      </c>
      <c r="Q293" s="30">
        <v>3</v>
      </c>
      <c r="R293" s="30">
        <v>239</v>
      </c>
      <c r="S293" s="31">
        <f>R293/N293</f>
        <v>5.8292682926829267</v>
      </c>
      <c r="T293" s="32">
        <f>O293/R293</f>
        <v>0.96652719665271969</v>
      </c>
      <c r="U293" s="32">
        <f>P293/R293</f>
        <v>2.0920502092050208E-2</v>
      </c>
      <c r="V293" s="32">
        <f>Q293/R293</f>
        <v>1.2552301255230125E-2</v>
      </c>
      <c r="W293" s="31">
        <f>P293/O293</f>
        <v>2.1645021645021644E-2</v>
      </c>
      <c r="X293" s="31">
        <f>Q293/(O293+P293)</f>
        <v>1.2711864406779662E-2</v>
      </c>
      <c r="Y293" s="65">
        <f>R293/R$488</f>
        <v>6.9428507519485013E-4</v>
      </c>
      <c r="Z293" s="30">
        <v>222</v>
      </c>
      <c r="AA293" s="30">
        <v>321</v>
      </c>
      <c r="AB293" s="29">
        <v>336</v>
      </c>
      <c r="AC293" s="34">
        <f>Z293/R293</f>
        <v>0.92887029288702927</v>
      </c>
      <c r="AD293" s="34">
        <f>AA293/Z293</f>
        <v>1.4459459459459461</v>
      </c>
      <c r="AE293" s="34">
        <f>AB293/AA293</f>
        <v>1.0467289719626167</v>
      </c>
      <c r="AF293" s="35">
        <f>AB293/R293</f>
        <v>1.405857740585774</v>
      </c>
      <c r="AG293" s="29">
        <f>0.6*Z293+0.4*AA293</f>
        <v>261.60000000000002</v>
      </c>
      <c r="AH293" s="54">
        <v>2135</v>
      </c>
      <c r="AI293" s="59">
        <f>AH293/AG293</f>
        <v>8.1613149847094792</v>
      </c>
      <c r="AJ293" s="61">
        <f>AI293/AI$488</f>
        <v>1.7343147426562544</v>
      </c>
    </row>
    <row r="294" spans="1:36" ht="15" customHeight="1" x14ac:dyDescent="0.2">
      <c r="A294" s="28" t="s">
        <v>268</v>
      </c>
      <c r="B294" s="28"/>
      <c r="C294" s="28" t="s">
        <v>123</v>
      </c>
      <c r="D294" s="28">
        <v>23</v>
      </c>
      <c r="E294" s="27"/>
      <c r="F294" s="27"/>
      <c r="G294" s="27" t="s">
        <v>427</v>
      </c>
      <c r="H294" s="27">
        <v>23</v>
      </c>
      <c r="I294" s="27" t="s">
        <v>622</v>
      </c>
      <c r="J294" s="27">
        <v>8</v>
      </c>
      <c r="K294" s="27">
        <v>2</v>
      </c>
      <c r="L294" s="27">
        <v>59</v>
      </c>
      <c r="M294" s="29">
        <v>43</v>
      </c>
      <c r="N294" s="30">
        <v>48</v>
      </c>
      <c r="O294" s="30">
        <v>190</v>
      </c>
      <c r="P294" s="30">
        <v>12</v>
      </c>
      <c r="Q294" s="30">
        <v>55</v>
      </c>
      <c r="R294" s="30">
        <v>257</v>
      </c>
      <c r="S294" s="31">
        <f>R294/N294</f>
        <v>5.354166666666667</v>
      </c>
      <c r="T294" s="32">
        <f>O294/R294</f>
        <v>0.73929961089494167</v>
      </c>
      <c r="U294" s="32">
        <f>P294/R294</f>
        <v>4.6692607003891051E-2</v>
      </c>
      <c r="V294" s="32">
        <f>Q294/R294</f>
        <v>0.2140077821011673</v>
      </c>
      <c r="W294" s="31">
        <f>P294/O294</f>
        <v>6.3157894736842107E-2</v>
      </c>
      <c r="X294" s="31">
        <f>Q294/(O294+P294)</f>
        <v>0.2722772277227723</v>
      </c>
      <c r="Y294" s="65">
        <f>R294/R$488</f>
        <v>7.4657432771998522E-4</v>
      </c>
      <c r="Z294" s="30">
        <v>272</v>
      </c>
      <c r="AA294" s="30">
        <v>270</v>
      </c>
      <c r="AB294" s="29">
        <v>298</v>
      </c>
      <c r="AC294" s="34">
        <f>Z294/R294</f>
        <v>1.0583657587548638</v>
      </c>
      <c r="AD294" s="34">
        <f>AA294/Z294</f>
        <v>0.99264705882352944</v>
      </c>
      <c r="AE294" s="34">
        <f>AB294/AA294</f>
        <v>1.1037037037037036</v>
      </c>
      <c r="AF294" s="35">
        <f>AB294/R294</f>
        <v>1.1595330739299612</v>
      </c>
      <c r="AG294" s="29">
        <f>0.6*Z294+0.4*AA294</f>
        <v>271.2</v>
      </c>
      <c r="AH294" s="54">
        <v>1451</v>
      </c>
      <c r="AI294" s="59">
        <f>AH294/AG294</f>
        <v>5.3502949852507378</v>
      </c>
      <c r="AJ294" s="61">
        <f>AI294/AI$488</f>
        <v>1.136960831418087</v>
      </c>
    </row>
    <row r="295" spans="1:36" ht="15" customHeight="1" x14ac:dyDescent="0.2">
      <c r="A295" s="27" t="s">
        <v>337</v>
      </c>
      <c r="B295" s="27">
        <v>3</v>
      </c>
      <c r="C295" s="28" t="s">
        <v>323</v>
      </c>
      <c r="D295" s="28">
        <v>1</v>
      </c>
      <c r="E295" s="27"/>
      <c r="F295" s="27"/>
      <c r="G295" s="27" t="s">
        <v>336</v>
      </c>
      <c r="H295" s="27">
        <v>10</v>
      </c>
      <c r="I295" s="27" t="s">
        <v>618</v>
      </c>
      <c r="J295" s="27">
        <v>6</v>
      </c>
      <c r="K295" s="27">
        <v>7</v>
      </c>
      <c r="L295" s="27">
        <v>20</v>
      </c>
      <c r="M295" s="29">
        <v>112</v>
      </c>
      <c r="N295" s="30">
        <v>138</v>
      </c>
      <c r="O295" s="30">
        <v>594</v>
      </c>
      <c r="P295" s="30">
        <v>115</v>
      </c>
      <c r="Q295" s="30">
        <v>0</v>
      </c>
      <c r="R295" s="30">
        <v>709</v>
      </c>
      <c r="S295" s="31">
        <f>R295/N295</f>
        <v>5.13768115942029</v>
      </c>
      <c r="T295" s="32">
        <f>O295/R295</f>
        <v>0.83779971791255292</v>
      </c>
      <c r="U295" s="32">
        <f>P295/R295</f>
        <v>0.16220028208744711</v>
      </c>
      <c r="V295" s="32">
        <f>Q295/R295</f>
        <v>0</v>
      </c>
      <c r="W295" s="31">
        <f>P295/O295</f>
        <v>0.19360269360269361</v>
      </c>
      <c r="X295" s="31">
        <f>Q295/(O295+P295)</f>
        <v>0</v>
      </c>
      <c r="Y295" s="65">
        <f>R295/R$488</f>
        <v>2.0596155577956013E-3</v>
      </c>
      <c r="Z295" s="30">
        <v>699</v>
      </c>
      <c r="AA295" s="30">
        <v>837</v>
      </c>
      <c r="AB295" s="29">
        <v>870</v>
      </c>
      <c r="AC295" s="34">
        <f>Z295/R295</f>
        <v>0.98589562764456984</v>
      </c>
      <c r="AD295" s="34">
        <f>AA295/Z295</f>
        <v>1.1974248927038627</v>
      </c>
      <c r="AE295" s="34">
        <f>AB295/AA295</f>
        <v>1.0394265232974911</v>
      </c>
      <c r="AF295" s="35">
        <f>AB295/R295</f>
        <v>1.227080394922426</v>
      </c>
      <c r="AG295" s="29">
        <f>0.6*Z295+0.4*AA295</f>
        <v>754.2</v>
      </c>
      <c r="AH295" s="54">
        <v>4648</v>
      </c>
      <c r="AI295" s="59">
        <f>AH295/AG295</f>
        <v>6.1628215327499332</v>
      </c>
      <c r="AJ295" s="61">
        <f>AI295/AI$488</f>
        <v>1.3096262380060679</v>
      </c>
    </row>
    <row r="296" spans="1:36" ht="15" customHeight="1" x14ac:dyDescent="0.2">
      <c r="A296" s="28" t="s">
        <v>269</v>
      </c>
      <c r="B296" s="28"/>
      <c r="C296" s="28" t="s">
        <v>123</v>
      </c>
      <c r="D296" s="28">
        <v>23</v>
      </c>
      <c r="E296" s="27"/>
      <c r="F296" s="27"/>
      <c r="G296" s="27" t="s">
        <v>427</v>
      </c>
      <c r="H296" s="27">
        <v>23</v>
      </c>
      <c r="I296" s="27" t="s">
        <v>619</v>
      </c>
      <c r="J296" s="27">
        <v>9</v>
      </c>
      <c r="K296" s="27">
        <v>2</v>
      </c>
      <c r="L296" s="27">
        <v>58</v>
      </c>
      <c r="M296" s="29">
        <v>77</v>
      </c>
      <c r="N296" s="30">
        <v>87</v>
      </c>
      <c r="O296" s="30">
        <v>303</v>
      </c>
      <c r="P296" s="30">
        <v>11</v>
      </c>
      <c r="Q296" s="30">
        <v>375</v>
      </c>
      <c r="R296" s="30">
        <v>689</v>
      </c>
      <c r="S296" s="31">
        <f>R296/N296</f>
        <v>7.9195402298850572</v>
      </c>
      <c r="T296" s="32">
        <f>O296/R296</f>
        <v>0.43976777939042089</v>
      </c>
      <c r="U296" s="32">
        <f>P296/R296</f>
        <v>1.5965166908563134E-2</v>
      </c>
      <c r="V296" s="32">
        <f>Q296/R296</f>
        <v>0.54426705370101591</v>
      </c>
      <c r="W296" s="31">
        <f>P296/O296</f>
        <v>3.6303630363036306E-2</v>
      </c>
      <c r="X296" s="31">
        <f>Q296/(O296+P296)</f>
        <v>1.1942675159235669</v>
      </c>
      <c r="Y296" s="65">
        <f>R296/R$488</f>
        <v>2.0015163883232291E-3</v>
      </c>
      <c r="Z296" s="30">
        <v>676</v>
      </c>
      <c r="AA296" s="30">
        <v>697</v>
      </c>
      <c r="AB296" s="29">
        <v>740</v>
      </c>
      <c r="AC296" s="34">
        <f>Z296/R296</f>
        <v>0.98113207547169812</v>
      </c>
      <c r="AD296" s="34">
        <f>AA296/Z296</f>
        <v>1.0310650887573964</v>
      </c>
      <c r="AE296" s="34">
        <f>AB296/AA296</f>
        <v>1.0616929698708752</v>
      </c>
      <c r="AF296" s="35">
        <f>AB296/R296</f>
        <v>1.0740203193033382</v>
      </c>
      <c r="AG296" s="29">
        <f>0.6*Z296+0.4*AA296</f>
        <v>684.4</v>
      </c>
      <c r="AH296" s="54">
        <v>2904</v>
      </c>
      <c r="AI296" s="59">
        <f>AH296/AG296</f>
        <v>4.2431326709526598</v>
      </c>
      <c r="AJ296" s="61">
        <f>AI296/AI$488</f>
        <v>0.90168404969870986</v>
      </c>
    </row>
    <row r="297" spans="1:36" ht="15" customHeight="1" x14ac:dyDescent="0.2">
      <c r="A297" s="28" t="s">
        <v>302</v>
      </c>
      <c r="B297" s="28"/>
      <c r="C297" s="28" t="s">
        <v>119</v>
      </c>
      <c r="D297" s="28">
        <v>31</v>
      </c>
      <c r="E297" s="27"/>
      <c r="F297" s="27"/>
      <c r="G297" s="27" t="s">
        <v>332</v>
      </c>
      <c r="H297" s="27">
        <v>18</v>
      </c>
      <c r="I297" s="27" t="s">
        <v>620</v>
      </c>
      <c r="J297" s="27">
        <v>10</v>
      </c>
      <c r="K297" s="27">
        <v>3</v>
      </c>
      <c r="L297" s="27">
        <v>30</v>
      </c>
      <c r="M297" s="29">
        <v>22</v>
      </c>
      <c r="N297" s="30">
        <v>26</v>
      </c>
      <c r="O297" s="30">
        <v>55</v>
      </c>
      <c r="P297" s="30">
        <v>11</v>
      </c>
      <c r="Q297" s="30">
        <v>69</v>
      </c>
      <c r="R297" s="30">
        <v>135</v>
      </c>
      <c r="S297" s="31">
        <f>R297/N297</f>
        <v>5.1923076923076925</v>
      </c>
      <c r="T297" s="32">
        <f>O297/R297</f>
        <v>0.40740740740740738</v>
      </c>
      <c r="U297" s="32">
        <f>P297/R297</f>
        <v>8.1481481481481488E-2</v>
      </c>
      <c r="V297" s="32">
        <f>Q297/R297</f>
        <v>0.51111111111111107</v>
      </c>
      <c r="W297" s="31">
        <f>P297/O297</f>
        <v>0.2</v>
      </c>
      <c r="X297" s="31">
        <f>Q297/(O297+P297)</f>
        <v>1.0454545454545454</v>
      </c>
      <c r="Y297" s="65">
        <f>R297/R$488</f>
        <v>3.9216939393851364E-4</v>
      </c>
      <c r="Z297" s="30">
        <v>158</v>
      </c>
      <c r="AA297" s="30">
        <v>163</v>
      </c>
      <c r="AB297" s="29">
        <v>166</v>
      </c>
      <c r="AC297" s="34">
        <f>Z297/R297</f>
        <v>1.1703703703703703</v>
      </c>
      <c r="AD297" s="34">
        <f>AA297/Z297</f>
        <v>1.0316455696202531</v>
      </c>
      <c r="AE297" s="34">
        <f>AB297/AA297</f>
        <v>1.01840490797546</v>
      </c>
      <c r="AF297" s="35">
        <f>AB297/R297</f>
        <v>1.2296296296296296</v>
      </c>
      <c r="AG297" s="29">
        <f>0.6*Z297+0.4*AA297</f>
        <v>160</v>
      </c>
      <c r="AH297" s="54">
        <v>847</v>
      </c>
      <c r="AI297" s="59">
        <f>AH297/AG297</f>
        <v>5.2937500000000002</v>
      </c>
      <c r="AJ297" s="61">
        <f>AI297/AI$488</f>
        <v>1.1249447774209842</v>
      </c>
    </row>
    <row r="298" spans="1:36" ht="15" customHeight="1" x14ac:dyDescent="0.2">
      <c r="A298" s="28" t="s">
        <v>97</v>
      </c>
      <c r="B298" s="28"/>
      <c r="C298" s="27" t="s">
        <v>126</v>
      </c>
      <c r="D298" s="27">
        <v>27</v>
      </c>
      <c r="E298" s="27"/>
      <c r="F298" s="27"/>
      <c r="G298" s="27" t="s">
        <v>126</v>
      </c>
      <c r="H298" s="27">
        <v>20</v>
      </c>
      <c r="I298" s="27" t="s">
        <v>622</v>
      </c>
      <c r="J298" s="27">
        <v>8</v>
      </c>
      <c r="K298" s="27">
        <v>4</v>
      </c>
      <c r="L298" s="27">
        <v>60</v>
      </c>
      <c r="M298" s="29">
        <v>152</v>
      </c>
      <c r="N298" s="30">
        <v>160</v>
      </c>
      <c r="O298" s="30">
        <v>614</v>
      </c>
      <c r="P298" s="30">
        <v>210</v>
      </c>
      <c r="Q298" s="30">
        <v>38</v>
      </c>
      <c r="R298" s="30">
        <v>862</v>
      </c>
      <c r="S298" s="31">
        <f>R298/N298</f>
        <v>5.3875000000000002</v>
      </c>
      <c r="T298" s="32">
        <f>O298/R298</f>
        <v>0.71229698375870065</v>
      </c>
      <c r="U298" s="32">
        <f>P298/R298</f>
        <v>0.24361948955916474</v>
      </c>
      <c r="V298" s="32">
        <f>Q298/R298</f>
        <v>4.4083526682134569E-2</v>
      </c>
      <c r="W298" s="31">
        <f>P298/O298</f>
        <v>0.34201954397394135</v>
      </c>
      <c r="X298" s="31">
        <f>Q298/(O298+P298)</f>
        <v>4.6116504854368932E-2</v>
      </c>
      <c r="Y298" s="65">
        <f>R298/R$488</f>
        <v>2.5040742042592499E-3</v>
      </c>
      <c r="Z298" s="30">
        <v>951</v>
      </c>
      <c r="AA298" s="30">
        <v>1151</v>
      </c>
      <c r="AB298" s="29">
        <v>1205</v>
      </c>
      <c r="AC298" s="34">
        <f>Z298/R298</f>
        <v>1.1032482598607889</v>
      </c>
      <c r="AD298" s="34">
        <f>AA298/Z298</f>
        <v>1.2103049421661409</v>
      </c>
      <c r="AE298" s="34">
        <f>AB298/AA298</f>
        <v>1.0469157254561252</v>
      </c>
      <c r="AF298" s="35">
        <f>AB298/R298</f>
        <v>1.3979118329466358</v>
      </c>
      <c r="AG298" s="29">
        <f>0.6*Z298+0.4*AA298</f>
        <v>1031</v>
      </c>
      <c r="AH298" s="54">
        <v>7511</v>
      </c>
      <c r="AI298" s="59">
        <f>AH298/AG298</f>
        <v>7.2851600387972839</v>
      </c>
      <c r="AJ298" s="61">
        <f>AI298/AI$488</f>
        <v>1.5481280261291255</v>
      </c>
    </row>
    <row r="299" spans="1:36" ht="15" customHeight="1" x14ac:dyDescent="0.2">
      <c r="A299" s="28" t="s">
        <v>142</v>
      </c>
      <c r="B299" s="28"/>
      <c r="C299" s="28" t="s">
        <v>117</v>
      </c>
      <c r="D299" s="28">
        <v>3</v>
      </c>
      <c r="E299" s="27"/>
      <c r="F299" s="27"/>
      <c r="G299" s="27" t="s">
        <v>138</v>
      </c>
      <c r="H299" s="27">
        <v>9</v>
      </c>
      <c r="I299" s="27" t="s">
        <v>619</v>
      </c>
      <c r="J299" s="27">
        <v>9</v>
      </c>
      <c r="K299" s="27">
        <v>3</v>
      </c>
      <c r="L299" s="27">
        <v>29</v>
      </c>
      <c r="M299" s="29">
        <v>80</v>
      </c>
      <c r="N299" s="30">
        <v>90</v>
      </c>
      <c r="O299" s="30">
        <v>296</v>
      </c>
      <c r="P299" s="30">
        <v>22</v>
      </c>
      <c r="Q299" s="30">
        <v>151</v>
      </c>
      <c r="R299" s="30">
        <v>469</v>
      </c>
      <c r="S299" s="31">
        <f>R299/N299</f>
        <v>5.2111111111111112</v>
      </c>
      <c r="T299" s="32">
        <f>O299/R299</f>
        <v>0.63113006396588489</v>
      </c>
      <c r="U299" s="32">
        <f>P299/R299</f>
        <v>4.6908315565031986E-2</v>
      </c>
      <c r="V299" s="32">
        <f>Q299/R299</f>
        <v>0.32196162046908317</v>
      </c>
      <c r="W299" s="31">
        <f>P299/O299</f>
        <v>7.4324324324324328E-2</v>
      </c>
      <c r="X299" s="31">
        <f>Q299/(O299+P299)</f>
        <v>0.47484276729559749</v>
      </c>
      <c r="Y299" s="65">
        <f>R299/R$488</f>
        <v>1.3624255241271325E-3</v>
      </c>
      <c r="Z299" s="30">
        <v>564</v>
      </c>
      <c r="AA299" s="30">
        <v>661</v>
      </c>
      <c r="AB299" s="29">
        <v>761</v>
      </c>
      <c r="AC299" s="34">
        <f>Z299/R299</f>
        <v>1.2025586353944564</v>
      </c>
      <c r="AD299" s="34">
        <f>AA299/Z299</f>
        <v>1.1719858156028369</v>
      </c>
      <c r="AE299" s="34">
        <f>AB299/AA299</f>
        <v>1.1512859304084719</v>
      </c>
      <c r="AF299" s="35">
        <f>AB299/R299</f>
        <v>1.6226012793176972</v>
      </c>
      <c r="AG299" s="29">
        <f>0.6*Z299+0.4*AA299</f>
        <v>602.79999999999995</v>
      </c>
      <c r="AH299" s="54">
        <v>2084</v>
      </c>
      <c r="AI299" s="59">
        <f>AH299/AG299</f>
        <v>3.4571997345719976</v>
      </c>
      <c r="AJ299" s="61">
        <f>AI299/AI$488</f>
        <v>0.73466990052571068</v>
      </c>
    </row>
    <row r="300" spans="1:36" ht="15" customHeight="1" x14ac:dyDescent="0.2">
      <c r="A300" s="27" t="s">
        <v>189</v>
      </c>
      <c r="B300" s="27"/>
      <c r="C300" s="28" t="s">
        <v>81</v>
      </c>
      <c r="D300" s="27">
        <v>10</v>
      </c>
      <c r="E300" s="27" t="s">
        <v>420</v>
      </c>
      <c r="F300" s="27"/>
      <c r="G300" s="27" t="s">
        <v>330</v>
      </c>
      <c r="H300" s="27">
        <v>15</v>
      </c>
      <c r="I300" s="27" t="s">
        <v>624</v>
      </c>
      <c r="J300" s="27">
        <v>4</v>
      </c>
      <c r="K300" s="27">
        <v>4</v>
      </c>
      <c r="L300" s="27">
        <v>62</v>
      </c>
      <c r="M300" s="29">
        <v>296</v>
      </c>
      <c r="N300" s="30">
        <v>351</v>
      </c>
      <c r="O300" s="30">
        <v>944</v>
      </c>
      <c r="P300" s="30">
        <v>862</v>
      </c>
      <c r="Q300" s="30">
        <v>7</v>
      </c>
      <c r="R300" s="30">
        <v>1813</v>
      </c>
      <c r="S300" s="31">
        <f>R300/N300</f>
        <v>5.165242165242165</v>
      </c>
      <c r="T300" s="32">
        <f>O300/R300</f>
        <v>0.52068394925537786</v>
      </c>
      <c r="U300" s="32">
        <f>P300/R300</f>
        <v>0.47545504688361834</v>
      </c>
      <c r="V300" s="32">
        <f>Q300/R300</f>
        <v>3.8610038610038611E-3</v>
      </c>
      <c r="W300" s="31">
        <f>P300/O300</f>
        <v>0.91313559322033899</v>
      </c>
      <c r="X300" s="31">
        <f>Q300/(O300+P300)</f>
        <v>3.875968992248062E-3</v>
      </c>
      <c r="Y300" s="65">
        <f>R300/R$488</f>
        <v>5.2666897126705577E-3</v>
      </c>
      <c r="Z300" s="30">
        <v>1890</v>
      </c>
      <c r="AA300" s="30">
        <v>2194</v>
      </c>
      <c r="AB300" s="29">
        <v>2116</v>
      </c>
      <c r="AC300" s="34">
        <f>Z300/R300</f>
        <v>1.0424710424710424</v>
      </c>
      <c r="AD300" s="34">
        <f>AA300/Z300</f>
        <v>1.1608465608465608</v>
      </c>
      <c r="AE300" s="34">
        <f>AB300/AA300</f>
        <v>0.96444849589790338</v>
      </c>
      <c r="AF300" s="35">
        <f>AB300/R300</f>
        <v>1.1671263099834528</v>
      </c>
      <c r="AG300" s="29">
        <f>0.6*Z300+0.4*AA300</f>
        <v>2011.6</v>
      </c>
      <c r="AH300" s="54">
        <v>12616</v>
      </c>
      <c r="AI300" s="59">
        <f>AH300/AG300</f>
        <v>6.2716245774507859</v>
      </c>
      <c r="AJ300" s="61">
        <f>AI300/AI$488</f>
        <v>1.3327473557210574</v>
      </c>
    </row>
    <row r="301" spans="1:36" ht="15" customHeight="1" x14ac:dyDescent="0.2">
      <c r="A301" s="27" t="s">
        <v>412</v>
      </c>
      <c r="B301" s="27"/>
      <c r="C301" s="27" t="s">
        <v>332</v>
      </c>
      <c r="D301" s="27">
        <v>25</v>
      </c>
      <c r="E301" s="27"/>
      <c r="F301" s="27"/>
      <c r="G301" s="27" t="s">
        <v>332</v>
      </c>
      <c r="H301" s="27">
        <v>18</v>
      </c>
      <c r="I301" s="27" t="s">
        <v>620</v>
      </c>
      <c r="J301" s="27">
        <v>10</v>
      </c>
      <c r="K301" s="27">
        <v>1</v>
      </c>
      <c r="L301" s="27">
        <v>41</v>
      </c>
      <c r="M301" s="29">
        <v>90</v>
      </c>
      <c r="N301" s="30">
        <v>102</v>
      </c>
      <c r="O301" s="30">
        <v>123</v>
      </c>
      <c r="P301" s="30">
        <v>46</v>
      </c>
      <c r="Q301" s="30">
        <v>304</v>
      </c>
      <c r="R301" s="30">
        <v>473</v>
      </c>
      <c r="S301" s="31">
        <f>R301/N301</f>
        <v>4.6372549019607847</v>
      </c>
      <c r="T301" s="32">
        <f>O301/R301</f>
        <v>0.26004228329809725</v>
      </c>
      <c r="U301" s="32">
        <f>P301/R301</f>
        <v>9.7251585623678652E-2</v>
      </c>
      <c r="V301" s="32">
        <f>Q301/R301</f>
        <v>0.64270613107822405</v>
      </c>
      <c r="W301" s="31">
        <f>P301/O301</f>
        <v>0.37398373983739835</v>
      </c>
      <c r="X301" s="31">
        <f>Q301/(O301+P301)</f>
        <v>1.7988165680473374</v>
      </c>
      <c r="Y301" s="65">
        <f>R301/R$488</f>
        <v>1.3740453580216071E-3</v>
      </c>
      <c r="Z301" s="30">
        <v>429</v>
      </c>
      <c r="AA301" s="30">
        <v>456</v>
      </c>
      <c r="AB301" s="29">
        <v>531</v>
      </c>
      <c r="AC301" s="34">
        <f>Z301/R301</f>
        <v>0.90697674418604646</v>
      </c>
      <c r="AD301" s="34">
        <f>AA301/Z301</f>
        <v>1.0629370629370629</v>
      </c>
      <c r="AE301" s="34">
        <f>AB301/AA301</f>
        <v>1.1644736842105263</v>
      </c>
      <c r="AF301" s="35">
        <f>AB301/R301</f>
        <v>1.1226215644820297</v>
      </c>
      <c r="AG301" s="29">
        <f>0.6*Z301+0.4*AA301</f>
        <v>439.79999999999995</v>
      </c>
      <c r="AH301" s="54">
        <v>2071</v>
      </c>
      <c r="AI301" s="59">
        <f>AH301/AG301</f>
        <v>4.7089586175534341</v>
      </c>
      <c r="AJ301" s="61">
        <f>AI301/AI$488</f>
        <v>1.0006740786603585</v>
      </c>
    </row>
    <row r="302" spans="1:36" ht="15" customHeight="1" x14ac:dyDescent="0.2">
      <c r="A302" s="27" t="s">
        <v>14</v>
      </c>
      <c r="B302" s="27"/>
      <c r="C302" s="27" t="s">
        <v>123</v>
      </c>
      <c r="D302" s="28">
        <v>23</v>
      </c>
      <c r="E302" s="27"/>
      <c r="F302" s="27"/>
      <c r="G302" s="27" t="s">
        <v>30</v>
      </c>
      <c r="H302" s="27">
        <v>8</v>
      </c>
      <c r="I302" s="27" t="s">
        <v>619</v>
      </c>
      <c r="J302" s="27">
        <v>9</v>
      </c>
      <c r="K302" s="27">
        <v>2</v>
      </c>
      <c r="L302" s="27">
        <v>57</v>
      </c>
      <c r="M302" s="29">
        <v>60</v>
      </c>
      <c r="N302" s="30">
        <v>79</v>
      </c>
      <c r="O302" s="30">
        <v>337</v>
      </c>
      <c r="P302" s="30">
        <v>42</v>
      </c>
      <c r="Q302" s="30">
        <v>0</v>
      </c>
      <c r="R302" s="30">
        <v>379</v>
      </c>
      <c r="S302" s="31">
        <f>R302/N302</f>
        <v>4.7974683544303796</v>
      </c>
      <c r="T302" s="32">
        <f>O302/R302</f>
        <v>0.8891820580474934</v>
      </c>
      <c r="U302" s="32">
        <f>P302/R302</f>
        <v>0.11081794195250659</v>
      </c>
      <c r="V302" s="32">
        <f>Q302/R302</f>
        <v>0</v>
      </c>
      <c r="W302" s="31">
        <f>P302/O302</f>
        <v>0.12462908011869436</v>
      </c>
      <c r="X302" s="31">
        <f>Q302/(O302+P302)</f>
        <v>0</v>
      </c>
      <c r="Y302" s="65">
        <f>R302/R$488</f>
        <v>1.1009792615014568E-3</v>
      </c>
      <c r="Z302" s="30">
        <v>390</v>
      </c>
      <c r="AA302" s="30">
        <v>509</v>
      </c>
      <c r="AB302" s="29">
        <v>562</v>
      </c>
      <c r="AC302" s="34">
        <f>Z302/R302</f>
        <v>1.029023746701847</v>
      </c>
      <c r="AD302" s="34">
        <f>AA302/Z302</f>
        <v>1.3051282051282052</v>
      </c>
      <c r="AE302" s="34">
        <f>AB302/AA302</f>
        <v>1.1041257367387034</v>
      </c>
      <c r="AF302" s="35">
        <f>AB302/R302</f>
        <v>1.4828496042216359</v>
      </c>
      <c r="AG302" s="29">
        <f>0.6*Z302+0.4*AA302</f>
        <v>437.6</v>
      </c>
      <c r="AH302" s="54">
        <v>1629</v>
      </c>
      <c r="AI302" s="59">
        <f>AH302/AG302</f>
        <v>3.7225776965265078</v>
      </c>
      <c r="AJ302" s="61">
        <f>AI302/AI$488</f>
        <v>0.79106386554924812</v>
      </c>
    </row>
    <row r="303" spans="1:36" ht="15" customHeight="1" x14ac:dyDescent="0.2">
      <c r="A303" s="28" t="s">
        <v>143</v>
      </c>
      <c r="B303" s="28"/>
      <c r="C303" s="28" t="s">
        <v>117</v>
      </c>
      <c r="D303" s="28">
        <v>3</v>
      </c>
      <c r="E303" s="27"/>
      <c r="F303" s="27"/>
      <c r="G303" s="27" t="s">
        <v>4</v>
      </c>
      <c r="H303" s="27">
        <v>14</v>
      </c>
      <c r="I303" s="27" t="s">
        <v>622</v>
      </c>
      <c r="J303" s="27">
        <v>8</v>
      </c>
      <c r="K303" s="27">
        <v>2</v>
      </c>
      <c r="L303" s="27">
        <v>60</v>
      </c>
      <c r="M303" s="29">
        <v>44</v>
      </c>
      <c r="N303" s="30">
        <v>44</v>
      </c>
      <c r="O303" s="30">
        <v>74</v>
      </c>
      <c r="P303" s="30">
        <v>11</v>
      </c>
      <c r="Q303" s="30">
        <v>97</v>
      </c>
      <c r="R303" s="30">
        <v>182</v>
      </c>
      <c r="S303" s="31">
        <f>R303/N303</f>
        <v>4.1363636363636367</v>
      </c>
      <c r="T303" s="32">
        <f>O303/R303</f>
        <v>0.40659340659340659</v>
      </c>
      <c r="U303" s="32">
        <f>P303/R303</f>
        <v>6.043956043956044E-2</v>
      </c>
      <c r="V303" s="32">
        <f>Q303/R303</f>
        <v>0.53296703296703296</v>
      </c>
      <c r="W303" s="31">
        <f>P303/O303</f>
        <v>0.14864864864864866</v>
      </c>
      <c r="X303" s="31">
        <f>Q303/(O303+P303)</f>
        <v>1.1411764705882352</v>
      </c>
      <c r="Y303" s="65">
        <f>R303/R$488</f>
        <v>5.2870244219858876E-4</v>
      </c>
      <c r="Z303" s="30">
        <v>186</v>
      </c>
      <c r="AA303" s="30">
        <v>229</v>
      </c>
      <c r="AB303" s="29">
        <v>259</v>
      </c>
      <c r="AC303" s="34">
        <f>Z303/R303</f>
        <v>1.0219780219780219</v>
      </c>
      <c r="AD303" s="34">
        <f>AA303/Z303</f>
        <v>1.2311827956989247</v>
      </c>
      <c r="AE303" s="34">
        <f>AB303/AA303</f>
        <v>1.1310043668122272</v>
      </c>
      <c r="AF303" s="35">
        <f>AB303/R303</f>
        <v>1.4230769230769231</v>
      </c>
      <c r="AG303" s="29">
        <f>0.6*Z303+0.4*AA303</f>
        <v>203.2</v>
      </c>
      <c r="AH303" s="54">
        <v>1058</v>
      </c>
      <c r="AI303" s="59">
        <f>AH303/AG303</f>
        <v>5.2066929133858268</v>
      </c>
      <c r="AJ303" s="61">
        <f>AI303/AI$488</f>
        <v>1.1064447698792415</v>
      </c>
    </row>
    <row r="304" spans="1:36" ht="15" customHeight="1" x14ac:dyDescent="0.2">
      <c r="A304" s="28" t="s">
        <v>162</v>
      </c>
      <c r="B304" s="28">
        <v>2</v>
      </c>
      <c r="C304" s="28" t="s">
        <v>107</v>
      </c>
      <c r="D304" s="28">
        <v>7</v>
      </c>
      <c r="E304" s="27"/>
      <c r="F304" s="27"/>
      <c r="G304" s="27" t="s">
        <v>336</v>
      </c>
      <c r="H304" s="27">
        <v>10</v>
      </c>
      <c r="I304" s="27" t="s">
        <v>618</v>
      </c>
      <c r="J304" s="27">
        <v>6</v>
      </c>
      <c r="K304" s="27">
        <v>7</v>
      </c>
      <c r="L304" s="27">
        <v>19</v>
      </c>
      <c r="M304" s="29">
        <v>18</v>
      </c>
      <c r="N304" s="30">
        <v>20</v>
      </c>
      <c r="O304" s="30">
        <v>29</v>
      </c>
      <c r="P304" s="30">
        <v>3</v>
      </c>
      <c r="Q304" s="30">
        <v>89</v>
      </c>
      <c r="R304" s="30">
        <v>121</v>
      </c>
      <c r="S304" s="31">
        <f>R304/N304</f>
        <v>6.05</v>
      </c>
      <c r="T304" s="32">
        <f>O304/R304</f>
        <v>0.23966942148760331</v>
      </c>
      <c r="U304" s="32">
        <f>P304/R304</f>
        <v>2.4793388429752067E-2</v>
      </c>
      <c r="V304" s="32">
        <f>Q304/R304</f>
        <v>0.73553719008264462</v>
      </c>
      <c r="W304" s="31">
        <f>P304/O304</f>
        <v>0.10344827586206896</v>
      </c>
      <c r="X304" s="31">
        <f>Q304/(O304+P304)</f>
        <v>2.78125</v>
      </c>
      <c r="Y304" s="65">
        <f>R304/R$488</f>
        <v>3.51499975307853E-4</v>
      </c>
      <c r="Z304" s="30">
        <v>127</v>
      </c>
      <c r="AA304" s="30">
        <v>136</v>
      </c>
      <c r="AB304" s="29">
        <v>120</v>
      </c>
      <c r="AC304" s="34">
        <f>Z304/R304</f>
        <v>1.0495867768595042</v>
      </c>
      <c r="AD304" s="34">
        <f>AA304/Z304</f>
        <v>1.0708661417322836</v>
      </c>
      <c r="AE304" s="34">
        <f>AB304/AA304</f>
        <v>0.88235294117647056</v>
      </c>
      <c r="AF304" s="35">
        <f>AB304/R304</f>
        <v>0.99173553719008267</v>
      </c>
      <c r="AG304" s="29">
        <f>0.6*Z304+0.4*AA304</f>
        <v>130.60000000000002</v>
      </c>
      <c r="AH304" s="54">
        <v>1757</v>
      </c>
      <c r="AI304" s="59">
        <f>AH304/AG304</f>
        <v>13.453292496171514</v>
      </c>
      <c r="AJ304" s="61">
        <f>AI304/AI$488</f>
        <v>2.8588828585945802</v>
      </c>
    </row>
    <row r="305" spans="1:36" ht="15" customHeight="1" x14ac:dyDescent="0.2">
      <c r="A305" s="28" t="s">
        <v>170</v>
      </c>
      <c r="B305" s="28"/>
      <c r="C305" s="28" t="s">
        <v>17</v>
      </c>
      <c r="D305" s="28">
        <v>8</v>
      </c>
      <c r="E305" s="27"/>
      <c r="F305" s="27" t="s">
        <v>480</v>
      </c>
      <c r="G305" s="27" t="s">
        <v>201</v>
      </c>
      <c r="H305" s="27">
        <v>3</v>
      </c>
      <c r="I305" s="27" t="s">
        <v>621</v>
      </c>
      <c r="J305" s="27">
        <v>7</v>
      </c>
      <c r="K305" s="27">
        <v>2</v>
      </c>
      <c r="L305" s="27">
        <v>62</v>
      </c>
      <c r="M305" s="29">
        <v>310</v>
      </c>
      <c r="N305" s="30">
        <v>312</v>
      </c>
      <c r="O305" s="30">
        <v>466</v>
      </c>
      <c r="P305" s="30">
        <v>413</v>
      </c>
      <c r="Q305" s="30">
        <v>819</v>
      </c>
      <c r="R305" s="40">
        <v>1698</v>
      </c>
      <c r="S305" s="31">
        <f>R305/N305</f>
        <v>5.4423076923076925</v>
      </c>
      <c r="T305" s="32">
        <f>O305/R305</f>
        <v>0.27444051825677268</v>
      </c>
      <c r="U305" s="32">
        <f>P305/R305</f>
        <v>0.24322732626619553</v>
      </c>
      <c r="V305" s="32">
        <f>Q305/R305</f>
        <v>0.48233215547703179</v>
      </c>
      <c r="W305" s="31">
        <f>P305/O305</f>
        <v>0.88626609442060089</v>
      </c>
      <c r="X305" s="31">
        <f>Q305/(O305+P305)</f>
        <v>0.93174061433447097</v>
      </c>
      <c r="Y305" s="65">
        <f>R305/R$488</f>
        <v>4.9326194882044162E-3</v>
      </c>
      <c r="Z305" s="30">
        <v>1846</v>
      </c>
      <c r="AA305" s="30">
        <v>1935</v>
      </c>
      <c r="AB305" s="29">
        <v>2003</v>
      </c>
      <c r="AC305" s="34">
        <f>Z305/R305</f>
        <v>1.0871613663133097</v>
      </c>
      <c r="AD305" s="34">
        <f>AA305/Z305</f>
        <v>1.0482123510292525</v>
      </c>
      <c r="AE305" s="34">
        <f>AB305/AA305</f>
        <v>1.0351421188630492</v>
      </c>
      <c r="AF305" s="35">
        <f>AB305/R305</f>
        <v>1.17962308598351</v>
      </c>
      <c r="AG305" s="29">
        <f>0.6*Z305+0.4*AA305</f>
        <v>1881.6</v>
      </c>
      <c r="AH305" s="56">
        <v>1698</v>
      </c>
      <c r="AI305" s="59">
        <f>AH305/AG305</f>
        <v>0.90242346938775519</v>
      </c>
      <c r="AJ305" s="61">
        <f>AI305/AI$488</f>
        <v>0.19176889141154768</v>
      </c>
    </row>
    <row r="306" spans="1:36" ht="15" customHeight="1" x14ac:dyDescent="0.2">
      <c r="A306" s="27" t="s">
        <v>347</v>
      </c>
      <c r="B306" s="27"/>
      <c r="C306" s="27" t="s">
        <v>324</v>
      </c>
      <c r="D306" s="27">
        <v>2</v>
      </c>
      <c r="E306" s="27"/>
      <c r="F306" s="27"/>
      <c r="G306" s="27" t="s">
        <v>333</v>
      </c>
      <c r="H306" s="27">
        <v>22</v>
      </c>
      <c r="I306" s="27" t="s">
        <v>621</v>
      </c>
      <c r="J306" s="27">
        <v>7</v>
      </c>
      <c r="K306" s="27">
        <v>2</v>
      </c>
      <c r="L306" s="27">
        <v>63</v>
      </c>
      <c r="M306" s="29">
        <v>65</v>
      </c>
      <c r="N306" s="30">
        <v>84</v>
      </c>
      <c r="O306" s="30">
        <v>222</v>
      </c>
      <c r="P306" s="30">
        <v>55</v>
      </c>
      <c r="Q306" s="30">
        <v>143</v>
      </c>
      <c r="R306" s="30">
        <v>420</v>
      </c>
      <c r="S306" s="31">
        <f>R306/N306</f>
        <v>5</v>
      </c>
      <c r="T306" s="32">
        <f>O306/R306</f>
        <v>0.52857142857142858</v>
      </c>
      <c r="U306" s="32">
        <f>P306/R306</f>
        <v>0.13095238095238096</v>
      </c>
      <c r="V306" s="32">
        <f>Q306/R306</f>
        <v>0.34047619047619049</v>
      </c>
      <c r="W306" s="31">
        <f>P306/O306</f>
        <v>0.24774774774774774</v>
      </c>
      <c r="X306" s="31">
        <f>Q306/(O306+P306)</f>
        <v>0.51624548736462095</v>
      </c>
      <c r="Y306" s="65">
        <f>R306/R$488</f>
        <v>1.2200825589198203E-3</v>
      </c>
      <c r="Z306" s="30">
        <v>427</v>
      </c>
      <c r="AA306" s="30">
        <v>415</v>
      </c>
      <c r="AB306" s="29">
        <v>436</v>
      </c>
      <c r="AC306" s="34">
        <f>Z306/R306</f>
        <v>1.0166666666666666</v>
      </c>
      <c r="AD306" s="34">
        <f>AA306/Z306</f>
        <v>0.97189695550351285</v>
      </c>
      <c r="AE306" s="34">
        <f>AB306/AA306</f>
        <v>1.0506024096385542</v>
      </c>
      <c r="AF306" s="35">
        <f>AB306/R306</f>
        <v>1.0380952380952382</v>
      </c>
      <c r="AG306" s="29">
        <f>0.6*Z306+0.4*AA306</f>
        <v>422.2</v>
      </c>
      <c r="AH306" s="54">
        <v>3248</v>
      </c>
      <c r="AI306" s="59">
        <f>AH306/AG306</f>
        <v>7.6930364756039795</v>
      </c>
      <c r="AJ306" s="61">
        <f>AI306/AI$488</f>
        <v>1.6348035335517981</v>
      </c>
    </row>
    <row r="307" spans="1:36" ht="15" customHeight="1" x14ac:dyDescent="0.2">
      <c r="A307" s="27" t="s">
        <v>281</v>
      </c>
      <c r="B307" s="27"/>
      <c r="C307" s="28" t="s">
        <v>110</v>
      </c>
      <c r="D307" s="27">
        <v>26</v>
      </c>
      <c r="E307" s="27"/>
      <c r="F307" s="27"/>
      <c r="G307" s="27" t="s">
        <v>287</v>
      </c>
      <c r="H307" s="27">
        <v>25</v>
      </c>
      <c r="I307" s="27" t="s">
        <v>624</v>
      </c>
      <c r="J307" s="27">
        <v>4</v>
      </c>
      <c r="K307" s="27">
        <v>4</v>
      </c>
      <c r="L307" s="27">
        <v>63</v>
      </c>
      <c r="M307" s="29">
        <v>21</v>
      </c>
      <c r="N307" s="30">
        <v>21</v>
      </c>
      <c r="O307" s="30">
        <v>37</v>
      </c>
      <c r="P307" s="30">
        <v>13</v>
      </c>
      <c r="Q307" s="30">
        <v>77</v>
      </c>
      <c r="R307" s="30">
        <v>127</v>
      </c>
      <c r="S307" s="31">
        <f>R307/N307</f>
        <v>6.0476190476190474</v>
      </c>
      <c r="T307" s="32">
        <f>O307/R307</f>
        <v>0.29133858267716534</v>
      </c>
      <c r="U307" s="32">
        <f>P307/R307</f>
        <v>0.10236220472440945</v>
      </c>
      <c r="V307" s="32">
        <f>Q307/R307</f>
        <v>0.60629921259842523</v>
      </c>
      <c r="W307" s="31">
        <f>P307/O307</f>
        <v>0.35135135135135137</v>
      </c>
      <c r="X307" s="31">
        <f>Q307/(O307+P307)</f>
        <v>1.54</v>
      </c>
      <c r="Y307" s="65">
        <f>R307/R$488</f>
        <v>3.6892972614956468E-4</v>
      </c>
      <c r="Z307" s="30">
        <v>165</v>
      </c>
      <c r="AA307" s="30">
        <v>202</v>
      </c>
      <c r="AB307" s="29">
        <v>182</v>
      </c>
      <c r="AC307" s="34">
        <f>Z307/R307</f>
        <v>1.2992125984251968</v>
      </c>
      <c r="AD307" s="34">
        <f>AA307/Z307</f>
        <v>1.2242424242424241</v>
      </c>
      <c r="AE307" s="34">
        <f>AB307/AA307</f>
        <v>0.90099009900990101</v>
      </c>
      <c r="AF307" s="35">
        <f>AB307/R307</f>
        <v>1.4330708661417322</v>
      </c>
      <c r="AG307" s="29">
        <f>0.6*Z307+0.4*AA307</f>
        <v>179.8</v>
      </c>
      <c r="AH307" s="54">
        <v>1248</v>
      </c>
      <c r="AI307" s="59">
        <f>AH307/AG307</f>
        <v>6.9410456062291432</v>
      </c>
      <c r="AJ307" s="61">
        <f>AI307/AI$488</f>
        <v>1.4750022204615525</v>
      </c>
    </row>
    <row r="308" spans="1:36" ht="15" customHeight="1" x14ac:dyDescent="0.2">
      <c r="A308" s="27" t="s">
        <v>7</v>
      </c>
      <c r="B308" s="27"/>
      <c r="C308" s="27" t="s">
        <v>111</v>
      </c>
      <c r="D308" s="28">
        <v>28</v>
      </c>
      <c r="E308" s="27" t="s">
        <v>420</v>
      </c>
      <c r="F308" s="27"/>
      <c r="G308" s="27" t="s">
        <v>426</v>
      </c>
      <c r="H308" s="27">
        <v>13</v>
      </c>
      <c r="I308" s="27" t="s">
        <v>111</v>
      </c>
      <c r="J308" s="27">
        <v>5</v>
      </c>
      <c r="K308" s="27">
        <v>5</v>
      </c>
      <c r="L308" s="27">
        <v>7</v>
      </c>
      <c r="M308" s="29">
        <v>402</v>
      </c>
      <c r="N308" s="30">
        <v>402</v>
      </c>
      <c r="O308" s="30">
        <v>289</v>
      </c>
      <c r="P308" s="30">
        <v>599</v>
      </c>
      <c r="Q308" s="30">
        <v>880</v>
      </c>
      <c r="R308" s="30">
        <v>1768</v>
      </c>
      <c r="S308" s="31">
        <f>R308/N308</f>
        <v>4.3980099502487562</v>
      </c>
      <c r="T308" s="32">
        <f>O308/R308</f>
        <v>0.16346153846153846</v>
      </c>
      <c r="U308" s="32">
        <f>P308/R308</f>
        <v>0.33880090497737558</v>
      </c>
      <c r="V308" s="32">
        <f>Q308/R308</f>
        <v>0.49773755656108598</v>
      </c>
      <c r="W308" s="31">
        <f>P308/O308</f>
        <v>2.0726643598615917</v>
      </c>
      <c r="X308" s="31">
        <f>Q308/(O308+P308)</f>
        <v>0.99099099099099097</v>
      </c>
      <c r="Y308" s="65">
        <f>R308/R$488</f>
        <v>5.1359665813577194E-3</v>
      </c>
      <c r="Z308" s="30">
        <v>1653</v>
      </c>
      <c r="AA308" s="30">
        <v>1932</v>
      </c>
      <c r="AB308" s="29">
        <v>1864</v>
      </c>
      <c r="AC308" s="34">
        <f>Z308/R308</f>
        <v>0.93495475113122173</v>
      </c>
      <c r="AD308" s="34">
        <f>AA308/Z308</f>
        <v>1.1687840290381126</v>
      </c>
      <c r="AE308" s="34">
        <f>AB308/AA308</f>
        <v>0.96480331262939956</v>
      </c>
      <c r="AF308" s="35">
        <f>AB308/R308</f>
        <v>1.0542986425339367</v>
      </c>
      <c r="AG308" s="29">
        <f>0.6*Z308+0.4*AA308</f>
        <v>1764.6</v>
      </c>
      <c r="AH308" s="54">
        <v>6446</v>
      </c>
      <c r="AI308" s="59">
        <f>AH308/AG308</f>
        <v>3.6529525104839626</v>
      </c>
      <c r="AJ308" s="61">
        <f>AI308/AI$488</f>
        <v>0.77626821229483944</v>
      </c>
    </row>
    <row r="309" spans="1:36" ht="15" customHeight="1" x14ac:dyDescent="0.2">
      <c r="A309" s="27" t="s">
        <v>365</v>
      </c>
      <c r="B309" s="27"/>
      <c r="C309" s="27" t="s">
        <v>325</v>
      </c>
      <c r="D309" s="27">
        <v>4</v>
      </c>
      <c r="E309" s="27"/>
      <c r="F309" s="27"/>
      <c r="G309" s="27" t="s">
        <v>331</v>
      </c>
      <c r="H309" s="27">
        <v>17</v>
      </c>
      <c r="I309" s="27" t="s">
        <v>620</v>
      </c>
      <c r="J309" s="27">
        <v>10</v>
      </c>
      <c r="K309" s="27">
        <v>1</v>
      </c>
      <c r="L309" s="27">
        <v>43</v>
      </c>
      <c r="M309" s="29">
        <v>44</v>
      </c>
      <c r="N309" s="30">
        <v>46</v>
      </c>
      <c r="O309" s="30">
        <v>48</v>
      </c>
      <c r="P309" s="30">
        <v>14</v>
      </c>
      <c r="Q309" s="30">
        <v>192</v>
      </c>
      <c r="R309" s="30">
        <v>254</v>
      </c>
      <c r="S309" s="31">
        <f>R309/N309</f>
        <v>5.5217391304347823</v>
      </c>
      <c r="T309" s="32">
        <f>O309/R309</f>
        <v>0.1889763779527559</v>
      </c>
      <c r="U309" s="32">
        <f>P309/R309</f>
        <v>5.5118110236220472E-2</v>
      </c>
      <c r="V309" s="32">
        <f>Q309/R309</f>
        <v>0.75590551181102361</v>
      </c>
      <c r="W309" s="31">
        <f>P309/O309</f>
        <v>0.29166666666666669</v>
      </c>
      <c r="X309" s="31">
        <f>Q309/(O309+P309)</f>
        <v>3.096774193548387</v>
      </c>
      <c r="Y309" s="65">
        <f>R309/R$488</f>
        <v>7.3785945229912935E-4</v>
      </c>
      <c r="Z309" s="30">
        <v>248</v>
      </c>
      <c r="AA309" s="30">
        <v>280</v>
      </c>
      <c r="AB309" s="29">
        <v>338</v>
      </c>
      <c r="AC309" s="34">
        <f>Z309/R309</f>
        <v>0.97637795275590555</v>
      </c>
      <c r="AD309" s="34">
        <f>AA309/Z309</f>
        <v>1.1290322580645162</v>
      </c>
      <c r="AE309" s="34">
        <f>AB309/AA309</f>
        <v>1.2071428571428571</v>
      </c>
      <c r="AF309" s="35">
        <f>AB309/R309</f>
        <v>1.3307086614173229</v>
      </c>
      <c r="AG309" s="29">
        <f>0.6*Z309+0.4*AA309</f>
        <v>260.79999999999995</v>
      </c>
      <c r="AH309" s="54">
        <v>2111</v>
      </c>
      <c r="AI309" s="59">
        <f>AH309/AG309</f>
        <v>8.0943251533742338</v>
      </c>
      <c r="AJ309" s="61">
        <f>AI309/AI$488</f>
        <v>1.7200791136785172</v>
      </c>
    </row>
    <row r="310" spans="1:36" ht="15" customHeight="1" x14ac:dyDescent="0.2">
      <c r="A310" s="27" t="s">
        <v>338</v>
      </c>
      <c r="B310" s="27">
        <v>2</v>
      </c>
      <c r="C310" s="27" t="s">
        <v>323</v>
      </c>
      <c r="D310" s="27">
        <v>1</v>
      </c>
      <c r="E310" s="27"/>
      <c r="F310" s="27"/>
      <c r="G310" s="27" t="s">
        <v>336</v>
      </c>
      <c r="H310" s="27">
        <v>10</v>
      </c>
      <c r="I310" s="27" t="s">
        <v>618</v>
      </c>
      <c r="J310" s="27">
        <v>6</v>
      </c>
      <c r="K310" s="27">
        <v>7</v>
      </c>
      <c r="L310" s="27">
        <v>21</v>
      </c>
      <c r="M310" s="29">
        <v>63</v>
      </c>
      <c r="N310" s="30">
        <v>76</v>
      </c>
      <c r="O310" s="30">
        <v>175</v>
      </c>
      <c r="P310" s="30">
        <v>86</v>
      </c>
      <c r="Q310" s="30">
        <v>19</v>
      </c>
      <c r="R310" s="30">
        <v>280</v>
      </c>
      <c r="S310" s="31">
        <f>R310/N310</f>
        <v>3.6842105263157894</v>
      </c>
      <c r="T310" s="32">
        <f>O310/R310</f>
        <v>0.625</v>
      </c>
      <c r="U310" s="32">
        <f>P310/R310</f>
        <v>0.30714285714285716</v>
      </c>
      <c r="V310" s="32">
        <f>Q310/R310</f>
        <v>6.7857142857142852E-2</v>
      </c>
      <c r="W310" s="31">
        <f>P310/O310</f>
        <v>0.49142857142857144</v>
      </c>
      <c r="X310" s="31">
        <f>Q310/(O310+P310)</f>
        <v>7.2796934865900387E-2</v>
      </c>
      <c r="Y310" s="65">
        <f>R310/R$488</f>
        <v>8.1338837261321346E-4</v>
      </c>
      <c r="Z310" s="30">
        <v>318</v>
      </c>
      <c r="AA310" s="30">
        <v>375</v>
      </c>
      <c r="AB310" s="29">
        <v>418</v>
      </c>
      <c r="AC310" s="34">
        <f>Z310/R310</f>
        <v>1.1357142857142857</v>
      </c>
      <c r="AD310" s="34">
        <f>AA310/Z310</f>
        <v>1.179245283018868</v>
      </c>
      <c r="AE310" s="34">
        <f>AB310/AA310</f>
        <v>1.1146666666666667</v>
      </c>
      <c r="AF310" s="35">
        <f>AB310/R310</f>
        <v>1.4928571428571429</v>
      </c>
      <c r="AG310" s="29">
        <f>0.6*Z310+0.4*AA310</f>
        <v>340.79999999999995</v>
      </c>
      <c r="AH310" s="54">
        <v>4706</v>
      </c>
      <c r="AI310" s="59">
        <f>AH310/AG310</f>
        <v>13.808685446009392</v>
      </c>
      <c r="AJ310" s="61">
        <f>AI310/AI$488</f>
        <v>2.9344053979763718</v>
      </c>
    </row>
    <row r="311" spans="1:36" ht="15" customHeight="1" x14ac:dyDescent="0.2">
      <c r="A311" s="28" t="s">
        <v>436</v>
      </c>
      <c r="B311" s="28"/>
      <c r="C311" s="28" t="s">
        <v>122</v>
      </c>
      <c r="D311" s="28">
        <v>15</v>
      </c>
      <c r="E311" s="27"/>
      <c r="F311" s="27"/>
      <c r="G311" s="27" t="s">
        <v>201</v>
      </c>
      <c r="H311" s="27">
        <v>3</v>
      </c>
      <c r="I311" s="27" t="s">
        <v>618</v>
      </c>
      <c r="J311" s="27">
        <v>6</v>
      </c>
      <c r="K311" s="27">
        <v>6</v>
      </c>
      <c r="L311" s="27">
        <v>46</v>
      </c>
      <c r="M311" s="29">
        <v>14</v>
      </c>
      <c r="N311" s="30">
        <v>17</v>
      </c>
      <c r="O311" s="30">
        <v>32</v>
      </c>
      <c r="P311" s="30">
        <v>2</v>
      </c>
      <c r="Q311" s="30">
        <v>52</v>
      </c>
      <c r="R311" s="30">
        <v>86</v>
      </c>
      <c r="S311" s="31">
        <f>R311/N311</f>
        <v>5.0588235294117645</v>
      </c>
      <c r="T311" s="32">
        <f>O311/R311</f>
        <v>0.37209302325581395</v>
      </c>
      <c r="U311" s="32">
        <f>P311/R311</f>
        <v>2.3255813953488372E-2</v>
      </c>
      <c r="V311" s="32">
        <f>Q311/R311</f>
        <v>0.60465116279069764</v>
      </c>
      <c r="W311" s="31">
        <f>P311/O311</f>
        <v>6.25E-2</v>
      </c>
      <c r="X311" s="31">
        <f>Q311/(O311+P311)</f>
        <v>1.5294117647058822</v>
      </c>
      <c r="Y311" s="65">
        <f>R311/R$488</f>
        <v>2.4982642873120129E-4</v>
      </c>
      <c r="Z311" s="30">
        <v>102</v>
      </c>
      <c r="AA311" s="30">
        <v>103</v>
      </c>
      <c r="AB311" s="29">
        <v>99</v>
      </c>
      <c r="AC311" s="34">
        <f>Z311/R311</f>
        <v>1.1860465116279071</v>
      </c>
      <c r="AD311" s="34">
        <f>AA311/Z311</f>
        <v>1.0098039215686274</v>
      </c>
      <c r="AE311" s="34">
        <f>AB311/AA311</f>
        <v>0.96116504854368934</v>
      </c>
      <c r="AF311" s="35">
        <f>AB311/R311</f>
        <v>1.1511627906976745</v>
      </c>
      <c r="AG311" s="29">
        <f>0.6*Z311+0.4*AA311</f>
        <v>102.4</v>
      </c>
      <c r="AH311" s="54">
        <v>1131</v>
      </c>
      <c r="AI311" s="59">
        <f>AH311/AG311</f>
        <v>11.044921875</v>
      </c>
      <c r="AJ311" s="61">
        <f>AI311/AI$488</f>
        <v>2.3470936822298056</v>
      </c>
    </row>
    <row r="312" spans="1:36" ht="15" customHeight="1" x14ac:dyDescent="0.2">
      <c r="A312" s="28" t="s">
        <v>190</v>
      </c>
      <c r="B312" s="28"/>
      <c r="C312" s="28" t="s">
        <v>81</v>
      </c>
      <c r="D312" s="27">
        <v>10</v>
      </c>
      <c r="E312" s="27"/>
      <c r="F312" s="27"/>
      <c r="G312" s="27" t="s">
        <v>330</v>
      </c>
      <c r="H312" s="27">
        <v>15</v>
      </c>
      <c r="I312" s="27" t="s">
        <v>624</v>
      </c>
      <c r="J312" s="27">
        <v>4</v>
      </c>
      <c r="K312" s="27">
        <v>4</v>
      </c>
      <c r="L312" s="27">
        <v>66</v>
      </c>
      <c r="M312" s="29">
        <v>112</v>
      </c>
      <c r="N312" s="30">
        <v>112</v>
      </c>
      <c r="O312" s="30">
        <v>130</v>
      </c>
      <c r="P312" s="30">
        <v>31</v>
      </c>
      <c r="Q312" s="30">
        <v>429</v>
      </c>
      <c r="R312" s="30">
        <v>590</v>
      </c>
      <c r="S312" s="31">
        <f>R312/N312</f>
        <v>5.2678571428571432</v>
      </c>
      <c r="T312" s="32">
        <f>O312/R312</f>
        <v>0.22033898305084745</v>
      </c>
      <c r="U312" s="32">
        <f>P312/R312</f>
        <v>5.254237288135593E-2</v>
      </c>
      <c r="V312" s="32">
        <f>Q312/R312</f>
        <v>0.72711864406779658</v>
      </c>
      <c r="W312" s="31">
        <f>P312/O312</f>
        <v>0.23846153846153847</v>
      </c>
      <c r="X312" s="31">
        <f>Q312/(O312+P312)</f>
        <v>2.6645962732919255</v>
      </c>
      <c r="Y312" s="65">
        <f>R312/R$488</f>
        <v>1.7139254994349856E-3</v>
      </c>
      <c r="Z312" s="30">
        <v>601</v>
      </c>
      <c r="AA312" s="30">
        <v>719</v>
      </c>
      <c r="AB312" s="29">
        <v>767</v>
      </c>
      <c r="AC312" s="34">
        <f>Z312/R312</f>
        <v>1.0186440677966102</v>
      </c>
      <c r="AD312" s="34">
        <f>AA312/Z312</f>
        <v>1.1963394342762064</v>
      </c>
      <c r="AE312" s="34">
        <f>AB312/AA312</f>
        <v>1.066759388038943</v>
      </c>
      <c r="AF312" s="35">
        <f>AB312/R312</f>
        <v>1.3</v>
      </c>
      <c r="AG312" s="29">
        <f>0.6*Z312+0.4*AA312</f>
        <v>648.20000000000005</v>
      </c>
      <c r="AH312" s="54">
        <v>4414</v>
      </c>
      <c r="AI312" s="59">
        <f>AH312/AG312</f>
        <v>6.809626658438753</v>
      </c>
      <c r="AJ312" s="61">
        <f>AI312/AI$488</f>
        <v>1.4470751254965539</v>
      </c>
    </row>
    <row r="313" spans="1:36" ht="15" customHeight="1" x14ac:dyDescent="0.2">
      <c r="A313" s="27" t="s">
        <v>13</v>
      </c>
      <c r="B313" s="27"/>
      <c r="C313" s="27" t="s">
        <v>17</v>
      </c>
      <c r="D313" s="27">
        <v>8</v>
      </c>
      <c r="E313" s="27"/>
      <c r="F313" s="27"/>
      <c r="G313" s="27" t="s">
        <v>201</v>
      </c>
      <c r="H313" s="27">
        <v>3</v>
      </c>
      <c r="I313" s="27" t="s">
        <v>621</v>
      </c>
      <c r="J313" s="27">
        <v>7</v>
      </c>
      <c r="K313" s="27">
        <v>6</v>
      </c>
      <c r="L313" s="27">
        <v>43</v>
      </c>
      <c r="M313" s="29">
        <v>168</v>
      </c>
      <c r="N313" s="30">
        <v>170</v>
      </c>
      <c r="O313" s="30">
        <v>340</v>
      </c>
      <c r="P313" s="30">
        <v>70</v>
      </c>
      <c r="Q313" s="30">
        <v>457</v>
      </c>
      <c r="R313" s="30">
        <v>867</v>
      </c>
      <c r="S313" s="31">
        <f>R313/N313</f>
        <v>5.0999999999999996</v>
      </c>
      <c r="T313" s="32">
        <f>O313/R313</f>
        <v>0.39215686274509803</v>
      </c>
      <c r="U313" s="32">
        <f>P313/R313</f>
        <v>8.073817762399077E-2</v>
      </c>
      <c r="V313" s="32">
        <f>Q313/R313</f>
        <v>0.5271049596309112</v>
      </c>
      <c r="W313" s="31">
        <f>P313/O313</f>
        <v>0.20588235294117646</v>
      </c>
      <c r="X313" s="31">
        <f>Q313/(O313+P313)</f>
        <v>1.1146341463414635</v>
      </c>
      <c r="Y313" s="65">
        <f>R313/R$488</f>
        <v>2.5185989966273431E-3</v>
      </c>
      <c r="Z313" s="30">
        <v>1049</v>
      </c>
      <c r="AA313" s="30">
        <v>1083</v>
      </c>
      <c r="AB313" s="29">
        <v>1311</v>
      </c>
      <c r="AC313" s="34">
        <f>Z313/R313</f>
        <v>1.209919261822376</v>
      </c>
      <c r="AD313" s="34">
        <f>AA313/Z313</f>
        <v>1.0324118207816968</v>
      </c>
      <c r="AE313" s="34">
        <f>AB313/AA313</f>
        <v>1.2105263157894737</v>
      </c>
      <c r="AF313" s="35">
        <f>AB313/R313</f>
        <v>1.5121107266435987</v>
      </c>
      <c r="AG313" s="29">
        <f>0.6*Z313+0.4*AA313</f>
        <v>1062.5999999999999</v>
      </c>
      <c r="AH313" s="54">
        <v>6395</v>
      </c>
      <c r="AI313" s="59">
        <f>AH313/AG313</f>
        <v>6.0182571052136273</v>
      </c>
      <c r="AJ313" s="61">
        <f>AI313/AI$488</f>
        <v>1.2789056717235985</v>
      </c>
    </row>
    <row r="314" spans="1:36" ht="15" customHeight="1" x14ac:dyDescent="0.2">
      <c r="A314" s="28" t="s">
        <v>270</v>
      </c>
      <c r="B314" s="28"/>
      <c r="C314" s="28" t="s">
        <v>123</v>
      </c>
      <c r="D314" s="28">
        <v>23</v>
      </c>
      <c r="E314" s="27"/>
      <c r="F314" s="27"/>
      <c r="G314" s="27" t="s">
        <v>427</v>
      </c>
      <c r="H314" s="27">
        <v>23</v>
      </c>
      <c r="I314" s="27" t="s">
        <v>619</v>
      </c>
      <c r="J314" s="27">
        <v>9</v>
      </c>
      <c r="K314" s="27">
        <v>3</v>
      </c>
      <c r="L314" s="27">
        <v>32</v>
      </c>
      <c r="M314" s="29">
        <v>36</v>
      </c>
      <c r="N314" s="30">
        <v>36</v>
      </c>
      <c r="O314" s="30">
        <v>95</v>
      </c>
      <c r="P314" s="30">
        <v>14</v>
      </c>
      <c r="Q314" s="30">
        <v>106</v>
      </c>
      <c r="R314" s="30">
        <v>215</v>
      </c>
      <c r="S314" s="31">
        <f>R314/N314</f>
        <v>5.9722222222222223</v>
      </c>
      <c r="T314" s="32">
        <f>O314/R314</f>
        <v>0.44186046511627908</v>
      </c>
      <c r="U314" s="32">
        <f>P314/R314</f>
        <v>6.5116279069767441E-2</v>
      </c>
      <c r="V314" s="32">
        <f>Q314/R314</f>
        <v>0.49302325581395351</v>
      </c>
      <c r="W314" s="31">
        <f>P314/O314</f>
        <v>0.14736842105263157</v>
      </c>
      <c r="X314" s="31">
        <f>Q314/(O314+P314)</f>
        <v>0.97247706422018354</v>
      </c>
      <c r="Y314" s="65">
        <f>R314/R$488</f>
        <v>6.2456607182800319E-4</v>
      </c>
      <c r="Z314" s="30">
        <v>237</v>
      </c>
      <c r="AA314" s="30">
        <v>278</v>
      </c>
      <c r="AB314" s="29">
        <v>250</v>
      </c>
      <c r="AC314" s="34">
        <f>Z314/R314</f>
        <v>1.1023255813953488</v>
      </c>
      <c r="AD314" s="34">
        <f>AA314/Z314</f>
        <v>1.1729957805907174</v>
      </c>
      <c r="AE314" s="34">
        <f>AB314/AA314</f>
        <v>0.89928057553956831</v>
      </c>
      <c r="AF314" s="35">
        <f>AB314/R314</f>
        <v>1.1627906976744187</v>
      </c>
      <c r="AG314" s="29">
        <f>0.6*Z314+0.4*AA314</f>
        <v>253.39999999999998</v>
      </c>
      <c r="AH314" s="54">
        <v>971</v>
      </c>
      <c r="AI314" s="59">
        <f>AH314/AG314</f>
        <v>3.8318863456985008</v>
      </c>
      <c r="AJ314" s="61">
        <f>AI314/AI$488</f>
        <v>0.81429242640175836</v>
      </c>
    </row>
    <row r="315" spans="1:36" ht="15" customHeight="1" x14ac:dyDescent="0.2">
      <c r="A315" s="27" t="s">
        <v>381</v>
      </c>
      <c r="B315" s="27"/>
      <c r="C315" s="27" t="s">
        <v>327</v>
      </c>
      <c r="D315" s="27">
        <v>12</v>
      </c>
      <c r="E315" s="27"/>
      <c r="F315" s="27"/>
      <c r="G315" s="27" t="s">
        <v>350</v>
      </c>
      <c r="H315" s="27">
        <v>2</v>
      </c>
      <c r="I315" s="27" t="s">
        <v>620</v>
      </c>
      <c r="J315" s="27">
        <v>10</v>
      </c>
      <c r="K315" s="27">
        <v>1</v>
      </c>
      <c r="L315" s="27">
        <v>46</v>
      </c>
      <c r="M315" s="29">
        <v>12</v>
      </c>
      <c r="N315" s="30">
        <v>12</v>
      </c>
      <c r="O315" s="30">
        <v>80</v>
      </c>
      <c r="P315" s="30">
        <v>6</v>
      </c>
      <c r="Q315" s="30">
        <v>0</v>
      </c>
      <c r="R315" s="30">
        <v>86</v>
      </c>
      <c r="S315" s="31">
        <f>R315/N315</f>
        <v>7.166666666666667</v>
      </c>
      <c r="T315" s="32">
        <f>O315/R315</f>
        <v>0.93023255813953487</v>
      </c>
      <c r="U315" s="32">
        <f>P315/R315</f>
        <v>6.9767441860465115E-2</v>
      </c>
      <c r="V315" s="32">
        <f>Q315/R315</f>
        <v>0</v>
      </c>
      <c r="W315" s="31">
        <f>P315/O315</f>
        <v>7.4999999999999997E-2</v>
      </c>
      <c r="X315" s="31">
        <f>Q315/(O315+P315)</f>
        <v>0</v>
      </c>
      <c r="Y315" s="65">
        <f>R315/R$488</f>
        <v>2.4982642873120129E-4</v>
      </c>
      <c r="Z315" s="30">
        <v>80</v>
      </c>
      <c r="AA315" s="30">
        <v>84</v>
      </c>
      <c r="AB315" s="29">
        <v>111</v>
      </c>
      <c r="AC315" s="34">
        <f>Z315/R315</f>
        <v>0.93023255813953487</v>
      </c>
      <c r="AD315" s="34">
        <f>AA315/Z315</f>
        <v>1.05</v>
      </c>
      <c r="AE315" s="34">
        <f>AB315/AA315</f>
        <v>1.3214285714285714</v>
      </c>
      <c r="AF315" s="35">
        <f>AB315/R315</f>
        <v>1.2906976744186047</v>
      </c>
      <c r="AG315" s="29">
        <f>0.6*Z315+0.4*AA315</f>
        <v>81.599999999999994</v>
      </c>
      <c r="AH315" s="54">
        <v>330</v>
      </c>
      <c r="AI315" s="59">
        <f>AH315/AG315</f>
        <v>4.0441176470588234</v>
      </c>
      <c r="AJ315" s="61">
        <f>AI315/AI$488</f>
        <v>0.85939249611992674</v>
      </c>
    </row>
    <row r="316" spans="1:36" ht="15" customHeight="1" x14ac:dyDescent="0.2">
      <c r="A316" s="28" t="s">
        <v>57</v>
      </c>
      <c r="B316" s="28"/>
      <c r="C316" s="27" t="s">
        <v>111</v>
      </c>
      <c r="D316" s="28">
        <v>28</v>
      </c>
      <c r="E316" s="27"/>
      <c r="F316" s="27"/>
      <c r="G316" s="27" t="s">
        <v>426</v>
      </c>
      <c r="H316" s="27">
        <v>13</v>
      </c>
      <c r="I316" s="27" t="s">
        <v>111</v>
      </c>
      <c r="J316" s="27">
        <v>5</v>
      </c>
      <c r="K316" s="27">
        <v>5</v>
      </c>
      <c r="L316" s="27">
        <v>8</v>
      </c>
      <c r="M316" s="29">
        <v>77</v>
      </c>
      <c r="N316" s="30">
        <v>96</v>
      </c>
      <c r="O316" s="30">
        <v>160</v>
      </c>
      <c r="P316" s="30">
        <v>34</v>
      </c>
      <c r="Q316" s="30">
        <v>325</v>
      </c>
      <c r="R316" s="30">
        <v>519</v>
      </c>
      <c r="S316" s="31">
        <f>R316/N316</f>
        <v>5.40625</v>
      </c>
      <c r="T316" s="32">
        <f>O316/R316</f>
        <v>0.30828516377649323</v>
      </c>
      <c r="U316" s="32">
        <f>P316/R316</f>
        <v>6.5510597302504817E-2</v>
      </c>
      <c r="V316" s="32">
        <f>Q316/R316</f>
        <v>0.62620423892100197</v>
      </c>
      <c r="W316" s="31">
        <f>P316/O316</f>
        <v>0.21249999999999999</v>
      </c>
      <c r="X316" s="31">
        <f>Q316/(O316+P316)</f>
        <v>1.6752577319587629</v>
      </c>
      <c r="Y316" s="65">
        <f>R316/R$488</f>
        <v>1.5076734478080636E-3</v>
      </c>
      <c r="Z316" s="30">
        <v>497</v>
      </c>
      <c r="AA316" s="30">
        <v>603</v>
      </c>
      <c r="AB316" s="29">
        <v>609</v>
      </c>
      <c r="AC316" s="34">
        <f>Z316/R316</f>
        <v>0.95761078998073212</v>
      </c>
      <c r="AD316" s="34">
        <f>AA316/Z316</f>
        <v>1.2132796780684105</v>
      </c>
      <c r="AE316" s="34">
        <f>AB316/AA316</f>
        <v>1.0099502487562189</v>
      </c>
      <c r="AF316" s="35">
        <f>AB316/R316</f>
        <v>1.1734104046242775</v>
      </c>
      <c r="AG316" s="29">
        <f>0.6*Z316+0.4*AA316</f>
        <v>539.4</v>
      </c>
      <c r="AH316" s="54">
        <v>1870</v>
      </c>
      <c r="AI316" s="59">
        <f>AH316/AG316</f>
        <v>3.4668149796069709</v>
      </c>
      <c r="AJ316" s="61">
        <f>AI316/AI$488</f>
        <v>0.73671318169420497</v>
      </c>
    </row>
    <row r="317" spans="1:36" ht="15" customHeight="1" x14ac:dyDescent="0.2">
      <c r="A317" s="28" t="s">
        <v>282</v>
      </c>
      <c r="B317" s="28"/>
      <c r="C317" s="28" t="s">
        <v>110</v>
      </c>
      <c r="D317" s="27">
        <v>26</v>
      </c>
      <c r="E317" s="27"/>
      <c r="F317" s="27"/>
      <c r="G317" s="27" t="s">
        <v>330</v>
      </c>
      <c r="H317" s="27">
        <v>15</v>
      </c>
      <c r="I317" s="27" t="s">
        <v>624</v>
      </c>
      <c r="J317" s="27">
        <v>4</v>
      </c>
      <c r="K317" s="27">
        <v>4</v>
      </c>
      <c r="L317" s="27">
        <v>67</v>
      </c>
      <c r="M317" s="29">
        <v>64</v>
      </c>
      <c r="N317" s="30">
        <v>64</v>
      </c>
      <c r="O317" s="30">
        <v>291</v>
      </c>
      <c r="P317" s="30">
        <v>67</v>
      </c>
      <c r="Q317" s="30">
        <v>22</v>
      </c>
      <c r="R317" s="30">
        <v>380</v>
      </c>
      <c r="S317" s="31">
        <f>R317/N317</f>
        <v>5.9375</v>
      </c>
      <c r="T317" s="32">
        <f>O317/R317</f>
        <v>0.76578947368421058</v>
      </c>
      <c r="U317" s="32">
        <f>P317/R317</f>
        <v>0.1763157894736842</v>
      </c>
      <c r="V317" s="32">
        <f>Q317/R317</f>
        <v>5.7894736842105263E-2</v>
      </c>
      <c r="W317" s="31">
        <f>P317/O317</f>
        <v>0.23024054982817868</v>
      </c>
      <c r="X317" s="31">
        <f>Q317/(O317+P317)</f>
        <v>6.1452513966480445E-2</v>
      </c>
      <c r="Y317" s="65">
        <f>R317/R$488</f>
        <v>1.1038842199750756E-3</v>
      </c>
      <c r="Z317" s="30">
        <v>396</v>
      </c>
      <c r="AA317" s="30">
        <v>440</v>
      </c>
      <c r="AB317" s="29">
        <v>457</v>
      </c>
      <c r="AC317" s="34">
        <f>Z317/R317</f>
        <v>1.0421052631578946</v>
      </c>
      <c r="AD317" s="34">
        <f>AA317/Z317</f>
        <v>1.1111111111111112</v>
      </c>
      <c r="AE317" s="34">
        <f>AB317/AA317</f>
        <v>1.0386363636363636</v>
      </c>
      <c r="AF317" s="35">
        <f>AB317/R317</f>
        <v>1.2026315789473685</v>
      </c>
      <c r="AG317" s="29">
        <f>0.6*Z317+0.4*AA317</f>
        <v>413.6</v>
      </c>
      <c r="AH317" s="54">
        <v>3744</v>
      </c>
      <c r="AI317" s="59">
        <f>AH317/AG317</f>
        <v>9.0522243713733079</v>
      </c>
      <c r="AJ317" s="61">
        <f>AI317/AI$488</f>
        <v>1.9236368416754386</v>
      </c>
    </row>
    <row r="318" spans="1:36" ht="15" customHeight="1" x14ac:dyDescent="0.2">
      <c r="A318" s="28" t="s">
        <v>144</v>
      </c>
      <c r="B318" s="28"/>
      <c r="C318" s="28" t="s">
        <v>117</v>
      </c>
      <c r="D318" s="28">
        <v>3</v>
      </c>
      <c r="E318" s="27"/>
      <c r="F318" s="27"/>
      <c r="G318" s="27" t="s">
        <v>4</v>
      </c>
      <c r="H318" s="27">
        <v>14</v>
      </c>
      <c r="I318" s="27" t="s">
        <v>622</v>
      </c>
      <c r="J318" s="27">
        <v>8</v>
      </c>
      <c r="K318" s="27">
        <v>3</v>
      </c>
      <c r="L318" s="27">
        <v>34</v>
      </c>
      <c r="M318" s="29">
        <v>111</v>
      </c>
      <c r="N318" s="30">
        <v>112</v>
      </c>
      <c r="O318" s="30">
        <v>416</v>
      </c>
      <c r="P318" s="30">
        <v>24</v>
      </c>
      <c r="Q318" s="30">
        <v>198</v>
      </c>
      <c r="R318" s="30">
        <v>638</v>
      </c>
      <c r="S318" s="31">
        <f>R318/N318</f>
        <v>5.6964285714285712</v>
      </c>
      <c r="T318" s="32">
        <f>O318/R318</f>
        <v>0.65203761755485889</v>
      </c>
      <c r="U318" s="32">
        <f>P318/R318</f>
        <v>3.7617554858934171E-2</v>
      </c>
      <c r="V318" s="32">
        <f>Q318/R318</f>
        <v>0.31034482758620691</v>
      </c>
      <c r="W318" s="31">
        <f>P318/O318</f>
        <v>5.7692307692307696E-2</v>
      </c>
      <c r="X318" s="31">
        <f>Q318/(O318+P318)</f>
        <v>0.45</v>
      </c>
      <c r="Y318" s="65">
        <f>R318/R$488</f>
        <v>1.8533635061686793E-3</v>
      </c>
      <c r="Z318" s="30">
        <v>681</v>
      </c>
      <c r="AA318" s="30">
        <v>868</v>
      </c>
      <c r="AB318" s="29">
        <v>980</v>
      </c>
      <c r="AC318" s="34">
        <f>Z318/R318</f>
        <v>1.067398119122257</v>
      </c>
      <c r="AD318" s="34">
        <f>AA318/Z318</f>
        <v>1.2745961820851688</v>
      </c>
      <c r="AE318" s="34">
        <f>AB318/AA318</f>
        <v>1.1290322580645162</v>
      </c>
      <c r="AF318" s="35">
        <f>AB318/R318</f>
        <v>1.5360501567398119</v>
      </c>
      <c r="AG318" s="29">
        <f>0.6*Z318+0.4*AA318</f>
        <v>755.8</v>
      </c>
      <c r="AH318" s="54">
        <v>2400</v>
      </c>
      <c r="AI318" s="59">
        <f>AH318/AG318</f>
        <v>3.1754432389521039</v>
      </c>
      <c r="AJ318" s="61">
        <f>AI318/AI$488</f>
        <v>0.67479542623961153</v>
      </c>
    </row>
    <row r="319" spans="1:36" ht="15" customHeight="1" x14ac:dyDescent="0.2">
      <c r="A319" s="27" t="s">
        <v>413</v>
      </c>
      <c r="B319" s="27"/>
      <c r="C319" s="27" t="s">
        <v>332</v>
      </c>
      <c r="D319" s="27">
        <v>25</v>
      </c>
      <c r="E319" s="27"/>
      <c r="F319" s="27" t="s">
        <v>480</v>
      </c>
      <c r="G319" s="27" t="s">
        <v>332</v>
      </c>
      <c r="H319" s="27">
        <v>18</v>
      </c>
      <c r="I319" s="27" t="s">
        <v>620</v>
      </c>
      <c r="J319" s="27">
        <v>10</v>
      </c>
      <c r="K319" s="27">
        <v>1</v>
      </c>
      <c r="L319" s="27">
        <v>47</v>
      </c>
      <c r="M319" s="29">
        <v>288</v>
      </c>
      <c r="N319" s="30">
        <v>330</v>
      </c>
      <c r="O319" s="30">
        <v>697</v>
      </c>
      <c r="P319" s="30">
        <v>801</v>
      </c>
      <c r="Q319" s="30">
        <v>43</v>
      </c>
      <c r="R319" s="30">
        <v>1541</v>
      </c>
      <c r="S319" s="31">
        <f>R319/N319</f>
        <v>4.6696969696969699</v>
      </c>
      <c r="T319" s="32">
        <f>O319/R319</f>
        <v>0.45230369889682026</v>
      </c>
      <c r="U319" s="32">
        <f>P319/R319</f>
        <v>0.51979234263465279</v>
      </c>
      <c r="V319" s="32">
        <f>Q319/R319</f>
        <v>2.7903958468526932E-2</v>
      </c>
      <c r="W319" s="31">
        <f>P319/O319</f>
        <v>1.1492109038737446</v>
      </c>
      <c r="X319" s="31">
        <f>Q319/(O319+P319)</f>
        <v>2.8704939919893192E-2</v>
      </c>
      <c r="Y319" s="65">
        <f>R319/R$488</f>
        <v>4.4765410078462927E-3</v>
      </c>
      <c r="Z319" s="30">
        <v>1526</v>
      </c>
      <c r="AA319" s="30">
        <v>1847</v>
      </c>
      <c r="AB319" s="29">
        <v>1937</v>
      </c>
      <c r="AC319" s="34">
        <f>Z319/R319</f>
        <v>0.99026606099935111</v>
      </c>
      <c r="AD319" s="34">
        <f>AA319/Z319</f>
        <v>1.2103538663171691</v>
      </c>
      <c r="AE319" s="34">
        <f>AB319/AA319</f>
        <v>1.0487276664861938</v>
      </c>
      <c r="AF319" s="35">
        <f>AB319/R319</f>
        <v>1.2569759896171318</v>
      </c>
      <c r="AG319" s="29">
        <f>0.6*Z319+0.4*AA319</f>
        <v>1654.4</v>
      </c>
      <c r="AH319" s="54">
        <v>8528</v>
      </c>
      <c r="AI319" s="59">
        <f>AH319/AG319</f>
        <v>5.1547388781431334</v>
      </c>
      <c r="AJ319" s="61">
        <f>AI319/AI$488</f>
        <v>1.0954043126207358</v>
      </c>
    </row>
    <row r="320" spans="1:36" ht="15" customHeight="1" x14ac:dyDescent="0.2">
      <c r="A320" s="27" t="s">
        <v>470</v>
      </c>
      <c r="B320" s="27"/>
      <c r="C320" s="28" t="s">
        <v>117</v>
      </c>
      <c r="D320" s="28">
        <v>3</v>
      </c>
      <c r="E320" s="27"/>
      <c r="F320" s="27"/>
      <c r="G320" s="27" t="s">
        <v>429</v>
      </c>
      <c r="H320" s="27">
        <v>26</v>
      </c>
      <c r="I320" s="27" t="s">
        <v>627</v>
      </c>
      <c r="J320" s="27">
        <v>99</v>
      </c>
      <c r="K320" s="27">
        <v>3</v>
      </c>
      <c r="L320" s="27">
        <v>33</v>
      </c>
      <c r="M320" s="29">
        <v>145</v>
      </c>
      <c r="N320" s="30">
        <v>164</v>
      </c>
      <c r="O320" s="30">
        <v>247</v>
      </c>
      <c r="P320" s="30">
        <v>359</v>
      </c>
      <c r="Q320" s="30">
        <v>166</v>
      </c>
      <c r="R320" s="30">
        <v>772</v>
      </c>
      <c r="S320" s="31">
        <f>R320/N320</f>
        <v>4.7073170731707314</v>
      </c>
      <c r="T320" s="32">
        <f>O320/R320</f>
        <v>0.31994818652849744</v>
      </c>
      <c r="U320" s="32">
        <f>P320/R320</f>
        <v>0.46502590673575128</v>
      </c>
      <c r="V320" s="32">
        <f>Q320/R320</f>
        <v>0.21502590673575128</v>
      </c>
      <c r="W320" s="31">
        <f>P320/O320</f>
        <v>1.4534412955465588</v>
      </c>
      <c r="X320" s="31">
        <f>Q320/(O320+P320)</f>
        <v>0.27392739273927391</v>
      </c>
      <c r="Y320" s="65">
        <f>R320/R$488</f>
        <v>2.2426279416335741E-3</v>
      </c>
      <c r="Z320" s="30">
        <v>828</v>
      </c>
      <c r="AA320" s="30">
        <v>955</v>
      </c>
      <c r="AB320" s="29">
        <v>1044</v>
      </c>
      <c r="AC320" s="34">
        <f>Z320/R320</f>
        <v>1.072538860103627</v>
      </c>
      <c r="AD320" s="34">
        <f>AA320/Z320</f>
        <v>1.1533816425120773</v>
      </c>
      <c r="AE320" s="34">
        <f>AB320/AA320</f>
        <v>1.0931937172774868</v>
      </c>
      <c r="AF320" s="35">
        <f>AB320/R320</f>
        <v>1.3523316062176165</v>
      </c>
      <c r="AG320" s="29">
        <f>0.6*Z320+0.4*AA320</f>
        <v>878.8</v>
      </c>
      <c r="AH320" s="54">
        <v>2917</v>
      </c>
      <c r="AI320" s="59">
        <f>AH320/AG320</f>
        <v>3.3192990441511152</v>
      </c>
      <c r="AJ320" s="61">
        <f>AI320/AI$488</f>
        <v>0.70536540720968344</v>
      </c>
    </row>
    <row r="321" spans="1:36" ht="15" customHeight="1" x14ac:dyDescent="0.2">
      <c r="A321" s="28" t="s">
        <v>544</v>
      </c>
      <c r="B321" s="28"/>
      <c r="C321" s="27" t="s">
        <v>118</v>
      </c>
      <c r="D321" s="28">
        <v>19</v>
      </c>
      <c r="E321" s="27" t="s">
        <v>421</v>
      </c>
      <c r="F321" s="27"/>
      <c r="G321" s="27" t="s">
        <v>69</v>
      </c>
      <c r="H321" s="27">
        <v>5</v>
      </c>
      <c r="I321" s="27" t="s">
        <v>622</v>
      </c>
      <c r="J321" s="27">
        <v>8</v>
      </c>
      <c r="K321" s="27">
        <v>6</v>
      </c>
      <c r="L321" s="27">
        <v>45</v>
      </c>
      <c r="M321" s="29">
        <v>275</v>
      </c>
      <c r="N321" s="30">
        <v>300</v>
      </c>
      <c r="O321" s="30">
        <v>251</v>
      </c>
      <c r="P321" s="30">
        <v>356</v>
      </c>
      <c r="Q321" s="30">
        <v>829</v>
      </c>
      <c r="R321" s="30">
        <v>1436</v>
      </c>
      <c r="S321" s="31">
        <f>R321/N321</f>
        <v>4.7866666666666671</v>
      </c>
      <c r="T321" s="32">
        <f>O321/R321</f>
        <v>0.17479108635097493</v>
      </c>
      <c r="U321" s="32">
        <f>P321/R321</f>
        <v>0.24791086350974931</v>
      </c>
      <c r="V321" s="32">
        <f>Q321/R321</f>
        <v>0.57729805013927582</v>
      </c>
      <c r="W321" s="31">
        <f>P321/O321</f>
        <v>1.4183266932270917</v>
      </c>
      <c r="X321" s="31">
        <f>Q321/(O321+P321)</f>
        <v>1.3657331136738056</v>
      </c>
      <c r="Y321" s="65">
        <f>R321/R$488</f>
        <v>4.1715203681163375E-3</v>
      </c>
      <c r="Z321" s="30">
        <v>1417</v>
      </c>
      <c r="AA321" s="30">
        <v>1563</v>
      </c>
      <c r="AB321" s="29">
        <v>1788</v>
      </c>
      <c r="AC321" s="34">
        <f>Z321/R321</f>
        <v>0.98676880222841223</v>
      </c>
      <c r="AD321" s="34">
        <f>AA321/Z321</f>
        <v>1.1030345800988002</v>
      </c>
      <c r="AE321" s="34">
        <f>AB321/AA321</f>
        <v>1.1439539347408829</v>
      </c>
      <c r="AF321" s="35">
        <f>AB321/R321</f>
        <v>1.2451253481894151</v>
      </c>
      <c r="AG321" s="29">
        <f>0.6*Z321+0.4*AA321</f>
        <v>1475.4</v>
      </c>
      <c r="AH321" s="54">
        <v>6229</v>
      </c>
      <c r="AI321" s="59">
        <f>AH321/AG321</f>
        <v>4.2219059238172694</v>
      </c>
      <c r="AJ321" s="61">
        <f>AI321/AI$488</f>
        <v>0.89717327409888115</v>
      </c>
    </row>
    <row r="322" spans="1:36" ht="15" customHeight="1" x14ac:dyDescent="0.2">
      <c r="A322" s="28" t="s">
        <v>488</v>
      </c>
      <c r="B322" s="28"/>
      <c r="C322" s="28" t="s">
        <v>123</v>
      </c>
      <c r="D322" s="28">
        <v>23</v>
      </c>
      <c r="E322" s="27" t="s">
        <v>420</v>
      </c>
      <c r="F322" s="27"/>
      <c r="G322" s="27" t="s">
        <v>30</v>
      </c>
      <c r="H322" s="27">
        <v>8</v>
      </c>
      <c r="I322" s="27" t="s">
        <v>619</v>
      </c>
      <c r="J322" s="27">
        <v>9</v>
      </c>
      <c r="K322" s="27">
        <v>1</v>
      </c>
      <c r="L322" s="27">
        <v>45</v>
      </c>
      <c r="M322" s="29">
        <v>490</v>
      </c>
      <c r="N322" s="30">
        <v>492</v>
      </c>
      <c r="O322" s="30">
        <v>102</v>
      </c>
      <c r="P322" s="30">
        <v>115</v>
      </c>
      <c r="Q322" s="30">
        <v>1837</v>
      </c>
      <c r="R322" s="30">
        <v>2054</v>
      </c>
      <c r="S322" s="31">
        <f>R322/N322</f>
        <v>4.1747967479674797</v>
      </c>
      <c r="T322" s="32">
        <f>O322/R322</f>
        <v>4.9659201557935732E-2</v>
      </c>
      <c r="U322" s="32">
        <f>P322/R322</f>
        <v>5.5988315481986371E-2</v>
      </c>
      <c r="V322" s="32">
        <f>Q322/R322</f>
        <v>0.89435248296007785</v>
      </c>
      <c r="W322" s="31">
        <f>P322/O322</f>
        <v>1.1274509803921569</v>
      </c>
      <c r="X322" s="31">
        <f>Q322/(O322+P322)</f>
        <v>8.4654377880184324</v>
      </c>
      <c r="Y322" s="65">
        <f>R322/R$488</f>
        <v>5.966784704812645E-3</v>
      </c>
      <c r="Z322" s="30">
        <v>2197</v>
      </c>
      <c r="AA322" s="30">
        <v>2550</v>
      </c>
      <c r="AB322" s="29">
        <v>2727</v>
      </c>
      <c r="AC322" s="34">
        <f>Z322/R322</f>
        <v>1.0696202531645569</v>
      </c>
      <c r="AD322" s="34">
        <f>AA322/Z322</f>
        <v>1.1606736458807465</v>
      </c>
      <c r="AE322" s="34">
        <f>AB322/AA322</f>
        <v>1.0694117647058823</v>
      </c>
      <c r="AF322" s="35">
        <f>AB322/R322</f>
        <v>1.327653359298929</v>
      </c>
      <c r="AG322" s="29">
        <f>0.6*Z322+0.4*AA322</f>
        <v>2338.1999999999998</v>
      </c>
      <c r="AH322" s="54">
        <v>6039</v>
      </c>
      <c r="AI322" s="59">
        <f>AH322/AG322</f>
        <v>2.5827559661277908</v>
      </c>
      <c r="AJ322" s="61">
        <f>AI322/AI$488</f>
        <v>0.54884681661361912</v>
      </c>
    </row>
    <row r="323" spans="1:36" ht="15" customHeight="1" x14ac:dyDescent="0.2">
      <c r="A323" s="28" t="s">
        <v>163</v>
      </c>
      <c r="B323" s="28">
        <v>3</v>
      </c>
      <c r="C323" s="28" t="s">
        <v>107</v>
      </c>
      <c r="D323" s="28">
        <v>7</v>
      </c>
      <c r="E323" s="27"/>
      <c r="F323" s="27"/>
      <c r="G323" s="27" t="s">
        <v>336</v>
      </c>
      <c r="H323" s="27">
        <v>10</v>
      </c>
      <c r="I323" s="27" t="s">
        <v>618</v>
      </c>
      <c r="J323" s="27">
        <v>6</v>
      </c>
      <c r="K323" s="27">
        <v>7</v>
      </c>
      <c r="L323" s="27">
        <v>22</v>
      </c>
      <c r="M323" s="29">
        <v>36</v>
      </c>
      <c r="N323" s="30">
        <v>36</v>
      </c>
      <c r="O323" s="30">
        <v>44</v>
      </c>
      <c r="P323" s="30">
        <v>16</v>
      </c>
      <c r="Q323" s="30">
        <v>120</v>
      </c>
      <c r="R323" s="30">
        <v>180</v>
      </c>
      <c r="S323" s="31">
        <f>R323/N323</f>
        <v>5</v>
      </c>
      <c r="T323" s="32">
        <f>O323/R323</f>
        <v>0.24444444444444444</v>
      </c>
      <c r="U323" s="32">
        <f>P323/R323</f>
        <v>8.8888888888888892E-2</v>
      </c>
      <c r="V323" s="32">
        <f>Q323/R323</f>
        <v>0.66666666666666663</v>
      </c>
      <c r="W323" s="31">
        <f>P323/O323</f>
        <v>0.36363636363636365</v>
      </c>
      <c r="X323" s="31">
        <f>Q323/(O323+P323)</f>
        <v>2</v>
      </c>
      <c r="Y323" s="65">
        <f>R323/R$488</f>
        <v>5.2289252525135148E-4</v>
      </c>
      <c r="Z323" s="30">
        <v>151</v>
      </c>
      <c r="AA323" s="30">
        <v>214</v>
      </c>
      <c r="AB323" s="29">
        <v>240</v>
      </c>
      <c r="AC323" s="34">
        <f>Z323/R323</f>
        <v>0.83888888888888891</v>
      </c>
      <c r="AD323" s="34">
        <f>AA323/Z323</f>
        <v>1.4172185430463575</v>
      </c>
      <c r="AE323" s="34">
        <f>AB323/AA323</f>
        <v>1.1214953271028036</v>
      </c>
      <c r="AF323" s="35">
        <f>AB323/R323</f>
        <v>1.3333333333333333</v>
      </c>
      <c r="AG323" s="29">
        <f>0.6*Z323+0.4*AA323</f>
        <v>176.2</v>
      </c>
      <c r="AH323" s="54">
        <v>1347</v>
      </c>
      <c r="AI323" s="59">
        <f>AH323/AG323</f>
        <v>7.6447219069239507</v>
      </c>
      <c r="AJ323" s="61">
        <f>AI323/AI$488</f>
        <v>1.6245364786833312</v>
      </c>
    </row>
    <row r="324" spans="1:36" ht="15" customHeight="1" x14ac:dyDescent="0.2">
      <c r="A324" s="28" t="s">
        <v>246</v>
      </c>
      <c r="B324" s="28"/>
      <c r="C324" s="28" t="s">
        <v>118</v>
      </c>
      <c r="D324" s="28">
        <v>19</v>
      </c>
      <c r="E324" s="27"/>
      <c r="F324" s="27"/>
      <c r="G324" s="27" t="s">
        <v>69</v>
      </c>
      <c r="H324" s="27">
        <v>5</v>
      </c>
      <c r="I324" s="27" t="s">
        <v>621</v>
      </c>
      <c r="J324" s="27">
        <v>7</v>
      </c>
      <c r="K324" s="27">
        <v>6</v>
      </c>
      <c r="L324" s="27">
        <v>44</v>
      </c>
      <c r="M324" s="29">
        <v>14</v>
      </c>
      <c r="N324" s="30">
        <v>14</v>
      </c>
      <c r="O324" s="30">
        <v>20</v>
      </c>
      <c r="P324" s="30">
        <v>10</v>
      </c>
      <c r="Q324" s="30">
        <v>46</v>
      </c>
      <c r="R324" s="30">
        <v>76</v>
      </c>
      <c r="S324" s="31">
        <f>R324/N324</f>
        <v>5.4285714285714288</v>
      </c>
      <c r="T324" s="32">
        <f>O324/R324</f>
        <v>0.26315789473684209</v>
      </c>
      <c r="U324" s="32">
        <f>P324/R324</f>
        <v>0.13157894736842105</v>
      </c>
      <c r="V324" s="32">
        <f>Q324/R324</f>
        <v>0.60526315789473684</v>
      </c>
      <c r="W324" s="31">
        <f>P324/O324</f>
        <v>0.5</v>
      </c>
      <c r="X324" s="31">
        <f>Q324/(O324+P324)</f>
        <v>1.5333333333333334</v>
      </c>
      <c r="Y324" s="65">
        <f>R324/R$488</f>
        <v>2.207768439950151E-4</v>
      </c>
      <c r="Z324" s="30">
        <v>106</v>
      </c>
      <c r="AA324" s="30">
        <v>102</v>
      </c>
      <c r="AB324" s="29">
        <v>99</v>
      </c>
      <c r="AC324" s="34">
        <f>Z324/R324</f>
        <v>1.3947368421052631</v>
      </c>
      <c r="AD324" s="34">
        <f>AA324/Z324</f>
        <v>0.96226415094339623</v>
      </c>
      <c r="AE324" s="34">
        <f>AB324/AA324</f>
        <v>0.97058823529411764</v>
      </c>
      <c r="AF324" s="35">
        <f>AB324/R324</f>
        <v>1.3026315789473684</v>
      </c>
      <c r="AG324" s="29">
        <f>0.6*Z324+0.4*AA324</f>
        <v>104.4</v>
      </c>
      <c r="AH324" s="54">
        <v>390</v>
      </c>
      <c r="AI324" s="59">
        <f>AH324/AG324</f>
        <v>3.735632183908046</v>
      </c>
      <c r="AJ324" s="61">
        <f>AI324/AI$488</f>
        <v>0.79383800059562715</v>
      </c>
    </row>
    <row r="325" spans="1:36" ht="15" customHeight="1" x14ac:dyDescent="0.2">
      <c r="A325" s="28" t="s">
        <v>588</v>
      </c>
      <c r="B325" s="28"/>
      <c r="C325" s="27" t="s">
        <v>119</v>
      </c>
      <c r="D325" s="28">
        <v>31</v>
      </c>
      <c r="E325" s="27"/>
      <c r="F325" s="27"/>
      <c r="G325" s="27" t="s">
        <v>332</v>
      </c>
      <c r="H325" s="27">
        <v>18</v>
      </c>
      <c r="I325" s="27" t="s">
        <v>621</v>
      </c>
      <c r="J325" s="27">
        <v>7</v>
      </c>
      <c r="K325" s="27">
        <v>2</v>
      </c>
      <c r="L325" s="27">
        <v>64</v>
      </c>
      <c r="M325" s="29">
        <v>81</v>
      </c>
      <c r="N325" s="30">
        <v>81</v>
      </c>
      <c r="O325" s="30">
        <v>123</v>
      </c>
      <c r="P325" s="30">
        <v>20</v>
      </c>
      <c r="Q325" s="30">
        <v>265</v>
      </c>
      <c r="R325" s="30">
        <v>408</v>
      </c>
      <c r="S325" s="31">
        <f>R325/N325</f>
        <v>5.0370370370370372</v>
      </c>
      <c r="T325" s="32">
        <f>O325/R325</f>
        <v>0.3014705882352941</v>
      </c>
      <c r="U325" s="32">
        <f>P325/R325</f>
        <v>4.9019607843137254E-2</v>
      </c>
      <c r="V325" s="32">
        <f>Q325/R325</f>
        <v>0.64950980392156865</v>
      </c>
      <c r="W325" s="31">
        <f>P325/O325</f>
        <v>0.16260162601626016</v>
      </c>
      <c r="X325" s="31">
        <f>Q325/(O325+P325)</f>
        <v>1.8531468531468531</v>
      </c>
      <c r="Y325" s="65">
        <f>R325/R$488</f>
        <v>1.1852230572363968E-3</v>
      </c>
      <c r="Z325" s="30">
        <v>440</v>
      </c>
      <c r="AA325" s="30">
        <v>474</v>
      </c>
      <c r="AB325" s="29">
        <v>497</v>
      </c>
      <c r="AC325" s="34">
        <f>Z325/R325</f>
        <v>1.0784313725490196</v>
      </c>
      <c r="AD325" s="34">
        <f>AA325/Z325</f>
        <v>1.0772727272727274</v>
      </c>
      <c r="AE325" s="34">
        <f>AB325/AA325</f>
        <v>1.0485232067510548</v>
      </c>
      <c r="AF325" s="35">
        <f>AB325/R325</f>
        <v>1.2181372549019607</v>
      </c>
      <c r="AG325" s="29">
        <f>0.6*Z325+0.4*AA325</f>
        <v>453.6</v>
      </c>
      <c r="AH325" s="54">
        <v>2721</v>
      </c>
      <c r="AI325" s="59">
        <f>AH325/AG325</f>
        <v>5.9986772486772484</v>
      </c>
      <c r="AJ325" s="61">
        <f>AI325/AI$488</f>
        <v>1.2747448675010244</v>
      </c>
    </row>
    <row r="326" spans="1:36" ht="15" customHeight="1" x14ac:dyDescent="0.2">
      <c r="A326" s="28" t="s">
        <v>164</v>
      </c>
      <c r="B326" s="28">
        <v>4</v>
      </c>
      <c r="C326" s="28" t="s">
        <v>107</v>
      </c>
      <c r="D326" s="28">
        <v>7</v>
      </c>
      <c r="E326" s="27"/>
      <c r="F326" s="27"/>
      <c r="G326" s="27" t="s">
        <v>336</v>
      </c>
      <c r="H326" s="27">
        <v>10</v>
      </c>
      <c r="I326" s="27" t="s">
        <v>618</v>
      </c>
      <c r="J326" s="27">
        <v>6</v>
      </c>
      <c r="K326" s="27">
        <v>7</v>
      </c>
      <c r="L326" s="27">
        <v>23</v>
      </c>
      <c r="M326" s="29">
        <v>60</v>
      </c>
      <c r="N326" s="30">
        <v>64</v>
      </c>
      <c r="O326" s="30">
        <v>74</v>
      </c>
      <c r="P326" s="30">
        <v>37</v>
      </c>
      <c r="Q326" s="30">
        <v>191</v>
      </c>
      <c r="R326" s="30">
        <v>302</v>
      </c>
      <c r="S326" s="31">
        <f>R326/N326</f>
        <v>4.71875</v>
      </c>
      <c r="T326" s="32">
        <f>O326/R326</f>
        <v>0.24503311258278146</v>
      </c>
      <c r="U326" s="32">
        <f>P326/R326</f>
        <v>0.12251655629139073</v>
      </c>
      <c r="V326" s="32">
        <f>Q326/R326</f>
        <v>0.63245033112582782</v>
      </c>
      <c r="W326" s="31">
        <f>P326/O326</f>
        <v>0.5</v>
      </c>
      <c r="X326" s="31">
        <f>Q326/(O326+P326)</f>
        <v>1.7207207207207207</v>
      </c>
      <c r="Y326" s="65">
        <f>R326/R$488</f>
        <v>8.7729745903282312E-4</v>
      </c>
      <c r="Z326" s="30">
        <v>312</v>
      </c>
      <c r="AA326" s="30">
        <v>379</v>
      </c>
      <c r="AB326" s="29">
        <v>385</v>
      </c>
      <c r="AC326" s="34">
        <f>Z326/R326</f>
        <v>1.0331125827814569</v>
      </c>
      <c r="AD326" s="34">
        <f>AA326/Z326</f>
        <v>1.2147435897435896</v>
      </c>
      <c r="AE326" s="34">
        <f>AB326/AA326</f>
        <v>1.0158311345646438</v>
      </c>
      <c r="AF326" s="35">
        <f>AB326/R326</f>
        <v>1.2748344370860927</v>
      </c>
      <c r="AG326" s="29">
        <f>0.6*Z326+0.4*AA326</f>
        <v>338.79999999999995</v>
      </c>
      <c r="AH326" s="54">
        <v>2531</v>
      </c>
      <c r="AI326" s="59">
        <f>AH326/AG326</f>
        <v>7.4704840613931536</v>
      </c>
      <c r="AJ326" s="61">
        <f>AI326/AI$488</f>
        <v>1.58751018270053</v>
      </c>
    </row>
    <row r="327" spans="1:36" ht="15" customHeight="1" x14ac:dyDescent="0.2">
      <c r="A327" s="27" t="s">
        <v>587</v>
      </c>
      <c r="B327" s="27"/>
      <c r="C327" s="27" t="s">
        <v>121</v>
      </c>
      <c r="D327" s="28">
        <v>18</v>
      </c>
      <c r="E327" s="27" t="s">
        <v>420</v>
      </c>
      <c r="F327" s="27"/>
      <c r="G327" s="27" t="s">
        <v>4</v>
      </c>
      <c r="H327" s="27">
        <v>14</v>
      </c>
      <c r="I327" s="27" t="s">
        <v>622</v>
      </c>
      <c r="J327" s="27">
        <v>8</v>
      </c>
      <c r="K327" s="27">
        <v>3</v>
      </c>
      <c r="L327" s="27">
        <v>36</v>
      </c>
      <c r="M327" s="38">
        <v>275</v>
      </c>
      <c r="N327" s="30">
        <v>330</v>
      </c>
      <c r="O327" s="30">
        <v>256</v>
      </c>
      <c r="P327" s="30">
        <v>226</v>
      </c>
      <c r="Q327" s="30">
        <v>1018</v>
      </c>
      <c r="R327" s="30">
        <v>1500</v>
      </c>
      <c r="S327" s="31">
        <f>R327/N327</f>
        <v>4.5454545454545459</v>
      </c>
      <c r="T327" s="32">
        <f>O327/R327</f>
        <v>0.17066666666666666</v>
      </c>
      <c r="U327" s="32">
        <f>P327/R327</f>
        <v>0.15066666666666667</v>
      </c>
      <c r="V327" s="32">
        <f>Q327/R327</f>
        <v>0.67866666666666664</v>
      </c>
      <c r="W327" s="31">
        <f>P327/O327</f>
        <v>0.8828125</v>
      </c>
      <c r="X327" s="31">
        <f>Q327/(O327+P327)</f>
        <v>2.1120331950207469</v>
      </c>
      <c r="Y327" s="65">
        <f>R327/R$488</f>
        <v>4.3574377104279296E-3</v>
      </c>
      <c r="Z327" s="30">
        <v>1554</v>
      </c>
      <c r="AA327" s="30">
        <v>2023</v>
      </c>
      <c r="AB327" s="29">
        <v>2055</v>
      </c>
      <c r="AC327" s="34">
        <f>Z327/R327</f>
        <v>1.036</v>
      </c>
      <c r="AD327" s="34">
        <f>AA327/Z327</f>
        <v>1.3018018018018018</v>
      </c>
      <c r="AE327" s="34">
        <f>AB327/AA327</f>
        <v>1.0158180919426594</v>
      </c>
      <c r="AF327" s="35">
        <f>AB327/R327</f>
        <v>1.37</v>
      </c>
      <c r="AG327" s="29">
        <f>0.6*Z327+0.4*AA327</f>
        <v>1741.6</v>
      </c>
      <c r="AH327" s="54">
        <v>5950</v>
      </c>
      <c r="AI327" s="59">
        <f>AH327/AG327</f>
        <v>3.416398713826367</v>
      </c>
      <c r="AJ327" s="61">
        <f>AI327/AI$488</f>
        <v>0.72599950709926586</v>
      </c>
    </row>
    <row r="328" spans="1:36" ht="15" customHeight="1" x14ac:dyDescent="0.2">
      <c r="A328" s="28" t="s">
        <v>176</v>
      </c>
      <c r="B328" s="28"/>
      <c r="C328" s="28" t="s">
        <v>120</v>
      </c>
      <c r="D328" s="28">
        <v>9</v>
      </c>
      <c r="E328" s="27"/>
      <c r="F328" s="27"/>
      <c r="G328" s="27" t="s">
        <v>172</v>
      </c>
      <c r="H328" s="27">
        <v>1</v>
      </c>
      <c r="I328" s="27" t="s">
        <v>618</v>
      </c>
      <c r="J328" s="27">
        <v>6</v>
      </c>
      <c r="K328" s="27">
        <v>6</v>
      </c>
      <c r="L328" s="27">
        <v>48</v>
      </c>
      <c r="M328" s="29">
        <v>187</v>
      </c>
      <c r="N328" s="30">
        <v>187</v>
      </c>
      <c r="O328" s="30">
        <v>380</v>
      </c>
      <c r="P328" s="30">
        <v>45</v>
      </c>
      <c r="Q328" s="30">
        <v>495</v>
      </c>
      <c r="R328" s="30">
        <v>920</v>
      </c>
      <c r="S328" s="31">
        <f>R328/N328</f>
        <v>4.9197860962566846</v>
      </c>
      <c r="T328" s="32">
        <f>O328/R328</f>
        <v>0.41304347826086957</v>
      </c>
      <c r="U328" s="32">
        <f>P328/R328</f>
        <v>4.8913043478260872E-2</v>
      </c>
      <c r="V328" s="32">
        <f>Q328/R328</f>
        <v>0.53804347826086951</v>
      </c>
      <c r="W328" s="31">
        <f>P328/O328</f>
        <v>0.11842105263157894</v>
      </c>
      <c r="X328" s="31">
        <f>Q328/(O328+P328)</f>
        <v>1.1647058823529413</v>
      </c>
      <c r="Y328" s="65">
        <f>R328/R$488</f>
        <v>2.6725617957291301E-3</v>
      </c>
      <c r="Z328" s="30">
        <v>966</v>
      </c>
      <c r="AA328" s="30">
        <v>1071</v>
      </c>
      <c r="AB328" s="29">
        <v>1178</v>
      </c>
      <c r="AC328" s="34">
        <f>Z328/R328</f>
        <v>1.05</v>
      </c>
      <c r="AD328" s="34">
        <f>AA328/Z328</f>
        <v>1.1086956521739131</v>
      </c>
      <c r="AE328" s="34">
        <f>AB328/AA328</f>
        <v>1.0999066293183941</v>
      </c>
      <c r="AF328" s="35">
        <f>AB328/R328</f>
        <v>1.2804347826086957</v>
      </c>
      <c r="AG328" s="29">
        <f>0.6*Z328+0.4*AA328</f>
        <v>1008</v>
      </c>
      <c r="AH328" s="54">
        <v>6086</v>
      </c>
      <c r="AI328" s="59">
        <f>AH328/AG328</f>
        <v>6.037698412698413</v>
      </c>
      <c r="AJ328" s="61">
        <f>AI328/AI$488</f>
        <v>1.2830370336733026</v>
      </c>
    </row>
    <row r="329" spans="1:36" ht="15" customHeight="1" x14ac:dyDescent="0.2">
      <c r="A329" s="27" t="s">
        <v>375</v>
      </c>
      <c r="B329" s="27"/>
      <c r="C329" s="27" t="s">
        <v>329</v>
      </c>
      <c r="D329" s="27">
        <v>20</v>
      </c>
      <c r="E329" s="27" t="s">
        <v>420</v>
      </c>
      <c r="F329" s="27"/>
      <c r="G329" s="27" t="s">
        <v>172</v>
      </c>
      <c r="H329" s="27">
        <v>1</v>
      </c>
      <c r="I329" s="27" t="s">
        <v>618</v>
      </c>
      <c r="J329" s="27">
        <v>6</v>
      </c>
      <c r="K329" s="27">
        <v>6</v>
      </c>
      <c r="L329" s="27">
        <v>47</v>
      </c>
      <c r="M329" s="29">
        <v>513</v>
      </c>
      <c r="N329" s="30">
        <v>746</v>
      </c>
      <c r="O329" s="30">
        <v>1530</v>
      </c>
      <c r="P329" s="30">
        <v>645</v>
      </c>
      <c r="Q329" s="30">
        <v>240</v>
      </c>
      <c r="R329" s="30">
        <v>2415</v>
      </c>
      <c r="S329" s="31">
        <f>R329/N329</f>
        <v>3.2372654155495977</v>
      </c>
      <c r="T329" s="32">
        <f>O329/R329</f>
        <v>0.63354037267080743</v>
      </c>
      <c r="U329" s="32">
        <f>P329/R329</f>
        <v>0.26708074534161491</v>
      </c>
      <c r="V329" s="32">
        <f>Q329/R329</f>
        <v>9.9378881987577633E-2</v>
      </c>
      <c r="W329" s="31">
        <f>P329/O329</f>
        <v>0.42156862745098039</v>
      </c>
      <c r="X329" s="31">
        <f>Q329/(O329+P329)</f>
        <v>0.1103448275862069</v>
      </c>
      <c r="Y329" s="65">
        <f>R329/R$488</f>
        <v>7.0154747137889661E-3</v>
      </c>
      <c r="Z329" s="30">
        <v>2880</v>
      </c>
      <c r="AA329" s="30">
        <v>3522</v>
      </c>
      <c r="AB329" s="29">
        <v>3849</v>
      </c>
      <c r="AC329" s="34">
        <f>Z329/R329</f>
        <v>1.1925465838509317</v>
      </c>
      <c r="AD329" s="34">
        <f>AA329/Z329</f>
        <v>1.2229166666666667</v>
      </c>
      <c r="AE329" s="34">
        <f>AB329/AA329</f>
        <v>1.0928449744463373</v>
      </c>
      <c r="AF329" s="35">
        <f>AB329/R329</f>
        <v>1.5937888198757764</v>
      </c>
      <c r="AG329" s="29">
        <f>0.6*Z329+0.4*AA329</f>
        <v>3136.8</v>
      </c>
      <c r="AH329" s="54">
        <v>17682</v>
      </c>
      <c r="AI329" s="59">
        <f>AH329/AG329</f>
        <v>5.6369548584544757</v>
      </c>
      <c r="AJ329" s="61">
        <f>AI329/AI$488</f>
        <v>1.1978772946543008</v>
      </c>
    </row>
    <row r="330" spans="1:36" ht="15" customHeight="1" x14ac:dyDescent="0.2">
      <c r="A330" s="28" t="s">
        <v>44</v>
      </c>
      <c r="B330" s="28"/>
      <c r="C330" s="27" t="s">
        <v>113</v>
      </c>
      <c r="D330" s="28">
        <v>16</v>
      </c>
      <c r="E330" s="27" t="s">
        <v>421</v>
      </c>
      <c r="F330" s="27"/>
      <c r="G330" s="27" t="s">
        <v>73</v>
      </c>
      <c r="H330" s="27">
        <v>11</v>
      </c>
      <c r="I330" s="27" t="s">
        <v>623</v>
      </c>
      <c r="J330" s="27">
        <v>3</v>
      </c>
      <c r="K330" s="27">
        <v>4</v>
      </c>
      <c r="L330" s="27">
        <v>75</v>
      </c>
      <c r="M330" s="29">
        <v>246</v>
      </c>
      <c r="N330" s="30">
        <v>323</v>
      </c>
      <c r="O330" s="30">
        <v>654</v>
      </c>
      <c r="P330" s="30">
        <v>268</v>
      </c>
      <c r="Q330" s="30">
        <v>653</v>
      </c>
      <c r="R330" s="30">
        <v>1575</v>
      </c>
      <c r="S330" s="31">
        <f>R330/N330</f>
        <v>4.8761609907120746</v>
      </c>
      <c r="T330" s="32">
        <f>O330/R330</f>
        <v>0.41523809523809524</v>
      </c>
      <c r="U330" s="32">
        <f>P330/R330</f>
        <v>0.17015873015873015</v>
      </c>
      <c r="V330" s="32">
        <f>Q330/R330</f>
        <v>0.41460317460317458</v>
      </c>
      <c r="W330" s="31">
        <f>P330/O330</f>
        <v>0.40978593272171254</v>
      </c>
      <c r="X330" s="31">
        <f>Q330/(O330+P330)</f>
        <v>0.70824295010845983</v>
      </c>
      <c r="Y330" s="65">
        <f>R330/R$488</f>
        <v>4.575309595949326E-3</v>
      </c>
      <c r="Z330" s="30">
        <v>1639</v>
      </c>
      <c r="AA330" s="30">
        <v>1796</v>
      </c>
      <c r="AB330" s="29">
        <v>1960</v>
      </c>
      <c r="AC330" s="34">
        <f>Z330/R330</f>
        <v>1.0406349206349206</v>
      </c>
      <c r="AD330" s="34">
        <f>AA330/Z330</f>
        <v>1.0957901159243442</v>
      </c>
      <c r="AE330" s="34">
        <f>AB330/AA330</f>
        <v>1.0913140311804008</v>
      </c>
      <c r="AF330" s="35">
        <f>AB330/R330</f>
        <v>1.2444444444444445</v>
      </c>
      <c r="AG330" s="29">
        <f>0.6*Z330+0.4*AA330</f>
        <v>1701.8000000000002</v>
      </c>
      <c r="AH330" s="54">
        <v>6602</v>
      </c>
      <c r="AI330" s="59">
        <f>AH330/AG330</f>
        <v>3.8794217886943234</v>
      </c>
      <c r="AJ330" s="61">
        <f>AI330/AI$488</f>
        <v>0.82439391369158943</v>
      </c>
    </row>
    <row r="331" spans="1:36" ht="15" customHeight="1" x14ac:dyDescent="0.2">
      <c r="A331" s="28" t="s">
        <v>145</v>
      </c>
      <c r="B331" s="28"/>
      <c r="C331" s="28" t="s">
        <v>117</v>
      </c>
      <c r="D331" s="28">
        <v>3</v>
      </c>
      <c r="E331" s="27"/>
      <c r="F331" s="27"/>
      <c r="G331" s="27" t="s">
        <v>138</v>
      </c>
      <c r="H331" s="27">
        <v>9</v>
      </c>
      <c r="I331" s="27" t="s">
        <v>619</v>
      </c>
      <c r="J331" s="27">
        <v>9</v>
      </c>
      <c r="K331" s="27">
        <v>3</v>
      </c>
      <c r="L331" s="27">
        <v>37</v>
      </c>
      <c r="M331" s="29">
        <v>41</v>
      </c>
      <c r="N331" s="30">
        <v>72</v>
      </c>
      <c r="O331" s="30">
        <v>199</v>
      </c>
      <c r="P331" s="30">
        <v>1</v>
      </c>
      <c r="Q331" s="30">
        <v>130</v>
      </c>
      <c r="R331" s="30">
        <v>330</v>
      </c>
      <c r="S331" s="31">
        <f>R331/N331</f>
        <v>4.583333333333333</v>
      </c>
      <c r="T331" s="32">
        <f>O331/R331</f>
        <v>0.60303030303030303</v>
      </c>
      <c r="U331" s="32">
        <f>P331/R331</f>
        <v>3.0303030303030303E-3</v>
      </c>
      <c r="V331" s="32">
        <f>Q331/R331</f>
        <v>0.39393939393939392</v>
      </c>
      <c r="W331" s="31">
        <f>P331/O331</f>
        <v>5.0251256281407036E-3</v>
      </c>
      <c r="X331" s="31">
        <f>Q331/(O331+P331)</f>
        <v>0.65</v>
      </c>
      <c r="Y331" s="65">
        <f>R331/R$488</f>
        <v>9.5863629629414451E-4</v>
      </c>
      <c r="Z331" s="30">
        <v>403</v>
      </c>
      <c r="AA331" s="30">
        <v>529</v>
      </c>
      <c r="AB331" s="29">
        <v>526</v>
      </c>
      <c r="AC331" s="34">
        <f>Z331/R331</f>
        <v>1.2212121212121212</v>
      </c>
      <c r="AD331" s="34">
        <f>AA331/Z331</f>
        <v>1.3126550868486353</v>
      </c>
      <c r="AE331" s="34">
        <f>AB331/AA331</f>
        <v>0.99432892249527405</v>
      </c>
      <c r="AF331" s="35">
        <f>AB331/R331</f>
        <v>1.593939393939394</v>
      </c>
      <c r="AG331" s="29">
        <f>0.6*Z331+0.4*AA331</f>
        <v>453.4</v>
      </c>
      <c r="AH331" s="54">
        <v>1698</v>
      </c>
      <c r="AI331" s="59">
        <f>AH331/AG331</f>
        <v>3.7450374944861053</v>
      </c>
      <c r="AJ331" s="61">
        <f>AI331/AI$488</f>
        <v>0.79583666978378498</v>
      </c>
    </row>
    <row r="332" spans="1:36" ht="15" customHeight="1" x14ac:dyDescent="0.2">
      <c r="A332" s="28" t="s">
        <v>271</v>
      </c>
      <c r="B332" s="28"/>
      <c r="C332" s="28" t="s">
        <v>123</v>
      </c>
      <c r="D332" s="28">
        <v>23</v>
      </c>
      <c r="E332" s="27"/>
      <c r="F332" s="27"/>
      <c r="G332" s="27" t="s">
        <v>30</v>
      </c>
      <c r="H332" s="27">
        <v>8</v>
      </c>
      <c r="I332" s="27" t="s">
        <v>619</v>
      </c>
      <c r="J332" s="27">
        <v>9</v>
      </c>
      <c r="K332" s="27">
        <v>2</v>
      </c>
      <c r="L332" s="27">
        <v>66</v>
      </c>
      <c r="M332" s="29">
        <v>107</v>
      </c>
      <c r="N332" s="30">
        <v>107</v>
      </c>
      <c r="O332" s="30">
        <v>542</v>
      </c>
      <c r="P332" s="30">
        <v>13</v>
      </c>
      <c r="Q332" s="30">
        <v>29</v>
      </c>
      <c r="R332" s="30">
        <v>584</v>
      </c>
      <c r="S332" s="31">
        <f>R332/N332</f>
        <v>5.4579439252336446</v>
      </c>
      <c r="T332" s="32">
        <f>O332/R332</f>
        <v>0.92808219178082196</v>
      </c>
      <c r="U332" s="32">
        <f>P332/R332</f>
        <v>2.2260273972602738E-2</v>
      </c>
      <c r="V332" s="32">
        <f>Q332/R332</f>
        <v>4.965753424657534E-2</v>
      </c>
      <c r="W332" s="31">
        <f>P332/O332</f>
        <v>2.3985239852398525E-2</v>
      </c>
      <c r="X332" s="31">
        <f>Q332/(O332+P332)</f>
        <v>5.2252252252252253E-2</v>
      </c>
      <c r="Y332" s="65">
        <f>R332/R$488</f>
        <v>1.6964957485932739E-3</v>
      </c>
      <c r="Z332" s="30">
        <v>789</v>
      </c>
      <c r="AA332" s="30">
        <v>967</v>
      </c>
      <c r="AB332" s="29">
        <v>923</v>
      </c>
      <c r="AC332" s="34">
        <f>Z332/R332</f>
        <v>1.351027397260274</v>
      </c>
      <c r="AD332" s="34">
        <f>AA332/Z332</f>
        <v>1.2256020278833968</v>
      </c>
      <c r="AE332" s="34">
        <f>AB332/AA332</f>
        <v>0.95449844881075496</v>
      </c>
      <c r="AF332" s="35">
        <f>AB332/R332</f>
        <v>1.5804794520547945</v>
      </c>
      <c r="AG332" s="29">
        <f>0.6*Z332+0.4*AA332</f>
        <v>860.2</v>
      </c>
      <c r="AH332" s="54">
        <v>4502</v>
      </c>
      <c r="AI332" s="59">
        <f>AH332/AG332</f>
        <v>5.2336665891653098</v>
      </c>
      <c r="AJ332" s="61">
        <f>AI332/AI$488</f>
        <v>1.1121767926789536</v>
      </c>
    </row>
    <row r="333" spans="1:36" ht="15" customHeight="1" x14ac:dyDescent="0.2">
      <c r="A333" s="27" t="s">
        <v>402</v>
      </c>
      <c r="B333" s="27"/>
      <c r="C333" s="27" t="s">
        <v>331</v>
      </c>
      <c r="D333" s="27">
        <v>24</v>
      </c>
      <c r="E333" s="27"/>
      <c r="F333" s="27"/>
      <c r="G333" s="27" t="s">
        <v>331</v>
      </c>
      <c r="H333" s="27">
        <v>17</v>
      </c>
      <c r="I333" s="27" t="s">
        <v>620</v>
      </c>
      <c r="J333" s="27">
        <v>10</v>
      </c>
      <c r="K333" s="27">
        <v>1</v>
      </c>
      <c r="L333" s="27">
        <v>48</v>
      </c>
      <c r="M333" s="29">
        <v>64</v>
      </c>
      <c r="N333" s="30">
        <v>75</v>
      </c>
      <c r="O333" s="30">
        <v>208</v>
      </c>
      <c r="P333" s="30">
        <v>14</v>
      </c>
      <c r="Q333" s="30">
        <v>100</v>
      </c>
      <c r="R333" s="30">
        <v>322</v>
      </c>
      <c r="S333" s="31">
        <f>R333/N333</f>
        <v>4.293333333333333</v>
      </c>
      <c r="T333" s="32">
        <f>O333/R333</f>
        <v>0.64596273291925466</v>
      </c>
      <c r="U333" s="32">
        <f>P333/R333</f>
        <v>4.3478260869565216E-2</v>
      </c>
      <c r="V333" s="32">
        <f>Q333/R333</f>
        <v>0.3105590062111801</v>
      </c>
      <c r="W333" s="31">
        <f>P333/O333</f>
        <v>6.7307692307692304E-2</v>
      </c>
      <c r="X333" s="31">
        <f>Q333/(O333+P333)</f>
        <v>0.45045045045045046</v>
      </c>
      <c r="Y333" s="65">
        <f>R333/R$488</f>
        <v>9.3539662850519549E-4</v>
      </c>
      <c r="Z333" s="30">
        <v>365</v>
      </c>
      <c r="AA333" s="30">
        <v>364</v>
      </c>
      <c r="AB333" s="29">
        <v>409</v>
      </c>
      <c r="AC333" s="34">
        <f>Z333/R333</f>
        <v>1.1335403726708075</v>
      </c>
      <c r="AD333" s="34">
        <f>AA333/Z333</f>
        <v>0.99726027397260275</v>
      </c>
      <c r="AE333" s="34">
        <f>AB333/AA333</f>
        <v>1.1236263736263736</v>
      </c>
      <c r="AF333" s="35">
        <f>AB333/R333</f>
        <v>1.2701863354037266</v>
      </c>
      <c r="AG333" s="29">
        <f>0.6*Z333+0.4*AA333</f>
        <v>364.6</v>
      </c>
      <c r="AH333" s="54">
        <v>1611</v>
      </c>
      <c r="AI333" s="59">
        <f>AH333/AG333</f>
        <v>4.4185408667032364</v>
      </c>
      <c r="AJ333" s="61">
        <f>AI333/AI$488</f>
        <v>0.93895905016651604</v>
      </c>
    </row>
    <row r="334" spans="1:36" ht="15" customHeight="1" x14ac:dyDescent="0.2">
      <c r="A334" s="28" t="s">
        <v>205</v>
      </c>
      <c r="B334" s="28"/>
      <c r="C334" s="28" t="s">
        <v>122</v>
      </c>
      <c r="D334" s="28">
        <v>15</v>
      </c>
      <c r="E334" s="27"/>
      <c r="F334" s="27"/>
      <c r="G334" s="27" t="s">
        <v>206</v>
      </c>
      <c r="H334" s="27">
        <v>16</v>
      </c>
      <c r="I334" s="27" t="s">
        <v>618</v>
      </c>
      <c r="J334" s="27">
        <v>6</v>
      </c>
      <c r="K334" s="27">
        <v>6</v>
      </c>
      <c r="L334" s="27">
        <v>50</v>
      </c>
      <c r="M334" s="29">
        <v>67</v>
      </c>
      <c r="N334" s="30">
        <v>88</v>
      </c>
      <c r="O334" s="30">
        <v>156</v>
      </c>
      <c r="P334" s="30">
        <v>50</v>
      </c>
      <c r="Q334" s="30">
        <v>210</v>
      </c>
      <c r="R334" s="30">
        <v>416</v>
      </c>
      <c r="S334" s="31">
        <f>R334/N334</f>
        <v>4.7272727272727275</v>
      </c>
      <c r="T334" s="32">
        <f>O334/R334</f>
        <v>0.375</v>
      </c>
      <c r="U334" s="32">
        <f>P334/R334</f>
        <v>0.1201923076923077</v>
      </c>
      <c r="V334" s="32">
        <f>Q334/R334</f>
        <v>0.50480769230769229</v>
      </c>
      <c r="W334" s="31">
        <f>P334/O334</f>
        <v>0.32051282051282054</v>
      </c>
      <c r="X334" s="31">
        <f>Q334/(O334+P334)</f>
        <v>1.0194174757281553</v>
      </c>
      <c r="Y334" s="65">
        <f>R334/R$488</f>
        <v>1.2084627250253457E-3</v>
      </c>
      <c r="Z334" s="30">
        <v>460</v>
      </c>
      <c r="AA334" s="30">
        <v>507</v>
      </c>
      <c r="AB334" s="29">
        <v>542</v>
      </c>
      <c r="AC334" s="34">
        <f>Z334/R334</f>
        <v>1.1057692307692308</v>
      </c>
      <c r="AD334" s="34">
        <f>AA334/Z334</f>
        <v>1.1021739130434782</v>
      </c>
      <c r="AE334" s="34">
        <f>AB334/AA334</f>
        <v>1.069033530571992</v>
      </c>
      <c r="AF334" s="35">
        <f>AB334/R334</f>
        <v>1.3028846153846154</v>
      </c>
      <c r="AG334" s="29">
        <f>0.6*Z334+0.4*AA334</f>
        <v>478.8</v>
      </c>
      <c r="AH334" s="54">
        <v>3002</v>
      </c>
      <c r="AI334" s="59">
        <f>AH334/AG334</f>
        <v>6.2698412698412698</v>
      </c>
      <c r="AJ334" s="61">
        <f>AI334/AI$488</f>
        <v>1.3323683951388878</v>
      </c>
    </row>
    <row r="335" spans="1:36" ht="15" customHeight="1" x14ac:dyDescent="0.2">
      <c r="A335" s="28" t="s">
        <v>570</v>
      </c>
      <c r="B335" s="28"/>
      <c r="C335" s="28" t="s">
        <v>115</v>
      </c>
      <c r="D335" s="28">
        <v>22</v>
      </c>
      <c r="E335" s="27"/>
      <c r="F335" s="27"/>
      <c r="G335" s="27" t="s">
        <v>431</v>
      </c>
      <c r="H335" s="27">
        <v>21</v>
      </c>
      <c r="I335" s="27" t="s">
        <v>539</v>
      </c>
      <c r="J335" s="27">
        <v>2</v>
      </c>
      <c r="K335" s="27">
        <v>4</v>
      </c>
      <c r="L335" s="27">
        <v>110</v>
      </c>
      <c r="M335" s="30">
        <v>30</v>
      </c>
      <c r="N335" s="30">
        <v>36</v>
      </c>
      <c r="O335" s="30">
        <v>79</v>
      </c>
      <c r="P335" s="30">
        <v>8</v>
      </c>
      <c r="Q335" s="30">
        <v>159</v>
      </c>
      <c r="R335" s="30">
        <v>246</v>
      </c>
      <c r="S335" s="31">
        <f>R335/N335</f>
        <v>6.833333333333333</v>
      </c>
      <c r="T335" s="32">
        <f>O335/R335</f>
        <v>0.32113821138211385</v>
      </c>
      <c r="U335" s="32">
        <f>P335/R335</f>
        <v>3.2520325203252036E-2</v>
      </c>
      <c r="V335" s="32">
        <f>Q335/R335</f>
        <v>0.64634146341463417</v>
      </c>
      <c r="W335" s="31">
        <f>P335/O335</f>
        <v>0.10126582278481013</v>
      </c>
      <c r="X335" s="31">
        <f>Q335/(O335+P335)</f>
        <v>1.8275862068965518</v>
      </c>
      <c r="Y335" s="65">
        <f>R335/R$488</f>
        <v>7.1461978451018045E-4</v>
      </c>
      <c r="Z335" s="30">
        <v>239</v>
      </c>
      <c r="AA335" s="30">
        <v>238</v>
      </c>
      <c r="AB335" s="30">
        <v>274</v>
      </c>
      <c r="AC335" s="34">
        <f>Z335/R335</f>
        <v>0.97154471544715448</v>
      </c>
      <c r="AD335" s="34">
        <f>AA335/Z335</f>
        <v>0.99581589958159</v>
      </c>
      <c r="AE335" s="34">
        <f>AB335/AA335</f>
        <v>1.1512605042016806</v>
      </c>
      <c r="AF335" s="35">
        <f>AB335/R335</f>
        <v>1.1138211382113821</v>
      </c>
      <c r="AG335" s="29">
        <f>0.6*Z335+0.4*AA335</f>
        <v>238.60000000000002</v>
      </c>
      <c r="AH335" s="57">
        <v>5932</v>
      </c>
      <c r="AI335" s="59">
        <f>AH335/AG335</f>
        <v>24.861693210393963</v>
      </c>
      <c r="AJ335" s="61">
        <f>AI335/AI$488</f>
        <v>5.2832173666824893</v>
      </c>
    </row>
    <row r="336" spans="1:36" ht="15" customHeight="1" x14ac:dyDescent="0.2">
      <c r="A336" s="28" t="s">
        <v>561</v>
      </c>
      <c r="B336" s="28"/>
      <c r="C336" s="28" t="s">
        <v>115</v>
      </c>
      <c r="D336" s="28">
        <v>22</v>
      </c>
      <c r="E336" s="27"/>
      <c r="F336" s="27"/>
      <c r="G336" s="27" t="s">
        <v>428</v>
      </c>
      <c r="H336" s="27">
        <v>19</v>
      </c>
      <c r="I336" s="27" t="s">
        <v>622</v>
      </c>
      <c r="J336" s="27">
        <v>8</v>
      </c>
      <c r="K336" s="27">
        <v>4</v>
      </c>
      <c r="L336" s="27">
        <v>69</v>
      </c>
      <c r="M336" s="29">
        <v>50</v>
      </c>
      <c r="N336" s="30">
        <v>59</v>
      </c>
      <c r="O336" s="30">
        <v>226</v>
      </c>
      <c r="P336" s="30">
        <v>16</v>
      </c>
      <c r="Q336" s="30">
        <v>49</v>
      </c>
      <c r="R336" s="30">
        <v>291</v>
      </c>
      <c r="S336" s="31">
        <f>R336/N336</f>
        <v>4.9322033898305087</v>
      </c>
      <c r="T336" s="32">
        <f>O336/R336</f>
        <v>0.7766323024054983</v>
      </c>
      <c r="U336" s="32">
        <f>P336/R336</f>
        <v>5.4982817869415807E-2</v>
      </c>
      <c r="V336" s="32">
        <f>Q336/R336</f>
        <v>0.16838487972508592</v>
      </c>
      <c r="W336" s="31">
        <f>P336/O336</f>
        <v>7.0796460176991149E-2</v>
      </c>
      <c r="X336" s="31">
        <f>Q336/(O336+P336)</f>
        <v>0.2024793388429752</v>
      </c>
      <c r="Y336" s="65">
        <f>R336/R$488</f>
        <v>8.4534291582301834E-4</v>
      </c>
      <c r="Z336" s="30">
        <v>376</v>
      </c>
      <c r="AA336" s="30">
        <v>444</v>
      </c>
      <c r="AB336" s="29">
        <v>500</v>
      </c>
      <c r="AC336" s="34">
        <f>Z336/R336</f>
        <v>1.2920962199312716</v>
      </c>
      <c r="AD336" s="34">
        <f>AA336/Z336</f>
        <v>1.1808510638297873</v>
      </c>
      <c r="AE336" s="34">
        <f>AB336/AA336</f>
        <v>1.1261261261261262</v>
      </c>
      <c r="AF336" s="35">
        <f>AB336/R336</f>
        <v>1.7182130584192439</v>
      </c>
      <c r="AG336" s="29">
        <f>0.6*Z336+0.4*AA336</f>
        <v>403.20000000000005</v>
      </c>
      <c r="AH336" s="54">
        <v>2506</v>
      </c>
      <c r="AI336" s="59">
        <f>AH336/AG336</f>
        <v>6.2152777777777768</v>
      </c>
      <c r="AJ336" s="61">
        <f>AI336/AI$488</f>
        <v>1.3207734170166348</v>
      </c>
    </row>
    <row r="337" spans="1:36" ht="15" customHeight="1" x14ac:dyDescent="0.2">
      <c r="A337" s="28" t="s">
        <v>272</v>
      </c>
      <c r="B337" s="28"/>
      <c r="C337" s="28" t="s">
        <v>123</v>
      </c>
      <c r="D337" s="28">
        <v>23</v>
      </c>
      <c r="E337" s="27"/>
      <c r="F337" s="27"/>
      <c r="G337" s="27" t="s">
        <v>427</v>
      </c>
      <c r="H337" s="27">
        <v>23</v>
      </c>
      <c r="I337" s="27" t="s">
        <v>619</v>
      </c>
      <c r="J337" s="27">
        <v>9</v>
      </c>
      <c r="K337" s="27">
        <v>2</v>
      </c>
      <c r="L337" s="27">
        <v>65</v>
      </c>
      <c r="M337" s="29">
        <v>40</v>
      </c>
      <c r="N337" s="30">
        <v>54</v>
      </c>
      <c r="O337" s="30">
        <v>115</v>
      </c>
      <c r="P337" s="30">
        <v>28</v>
      </c>
      <c r="Q337" s="30">
        <v>146</v>
      </c>
      <c r="R337" s="30">
        <v>289</v>
      </c>
      <c r="S337" s="31">
        <f>R337/N337</f>
        <v>5.3518518518518521</v>
      </c>
      <c r="T337" s="32">
        <f>O337/R337</f>
        <v>0.39792387543252594</v>
      </c>
      <c r="U337" s="32">
        <f>P337/R337</f>
        <v>9.6885813148788927E-2</v>
      </c>
      <c r="V337" s="32">
        <f>Q337/R337</f>
        <v>0.50519031141868509</v>
      </c>
      <c r="W337" s="31">
        <f>P337/O337</f>
        <v>0.24347826086956523</v>
      </c>
      <c r="X337" s="31">
        <f>Q337/(O337+P337)</f>
        <v>1.020979020979021</v>
      </c>
      <c r="Y337" s="65">
        <f>R337/R$488</f>
        <v>8.3953299887578106E-4</v>
      </c>
      <c r="Z337" s="30">
        <v>306</v>
      </c>
      <c r="AA337" s="30">
        <v>343</v>
      </c>
      <c r="AB337" s="29">
        <v>356</v>
      </c>
      <c r="AC337" s="34">
        <f>Z337/R337</f>
        <v>1.0588235294117647</v>
      </c>
      <c r="AD337" s="34">
        <f>AA337/Z337</f>
        <v>1.1209150326797386</v>
      </c>
      <c r="AE337" s="34">
        <f>AB337/AA337</f>
        <v>1.0379008746355685</v>
      </c>
      <c r="AF337" s="35">
        <f>AB337/R337</f>
        <v>1.2318339100346021</v>
      </c>
      <c r="AG337" s="29">
        <f>0.6*Z337+0.4*AA337</f>
        <v>320.8</v>
      </c>
      <c r="AH337" s="54">
        <v>1410</v>
      </c>
      <c r="AI337" s="59">
        <f>AH337/AG337</f>
        <v>4.3952618453865338</v>
      </c>
      <c r="AJ337" s="61">
        <f>AI337/AI$488</f>
        <v>0.93401215742437738</v>
      </c>
    </row>
    <row r="338" spans="1:36" ht="15" customHeight="1" x14ac:dyDescent="0.2">
      <c r="A338" s="28" t="s">
        <v>273</v>
      </c>
      <c r="B338" s="28"/>
      <c r="C338" s="28" t="s">
        <v>123</v>
      </c>
      <c r="D338" s="28">
        <v>23</v>
      </c>
      <c r="E338" s="27"/>
      <c r="F338" s="27"/>
      <c r="G338" s="27" t="s">
        <v>427</v>
      </c>
      <c r="H338" s="27">
        <v>23</v>
      </c>
      <c r="I338" s="27" t="s">
        <v>619</v>
      </c>
      <c r="J338" s="27">
        <v>9</v>
      </c>
      <c r="K338" s="27">
        <v>2</v>
      </c>
      <c r="L338" s="27">
        <v>67</v>
      </c>
      <c r="M338" s="29">
        <v>75</v>
      </c>
      <c r="N338" s="30">
        <v>78</v>
      </c>
      <c r="O338" s="30">
        <v>447</v>
      </c>
      <c r="P338" s="30">
        <v>20</v>
      </c>
      <c r="Q338" s="30">
        <v>0</v>
      </c>
      <c r="R338" s="30">
        <v>467</v>
      </c>
      <c r="S338" s="31">
        <f>R338/N338</f>
        <v>5.9871794871794872</v>
      </c>
      <c r="T338" s="32">
        <f>O338/R338</f>
        <v>0.95717344753747324</v>
      </c>
      <c r="U338" s="32">
        <f>P338/R338</f>
        <v>4.2826552462526764E-2</v>
      </c>
      <c r="V338" s="32">
        <f>Q338/R338</f>
        <v>0</v>
      </c>
      <c r="W338" s="31">
        <f>P338/O338</f>
        <v>4.4742729306487698E-2</v>
      </c>
      <c r="X338" s="31">
        <f>Q338/(O338+P338)</f>
        <v>0</v>
      </c>
      <c r="Y338" s="65">
        <f>R338/R$488</f>
        <v>1.3566156071798954E-3</v>
      </c>
      <c r="Z338" s="30">
        <v>497</v>
      </c>
      <c r="AA338" s="30">
        <v>571</v>
      </c>
      <c r="AB338" s="29">
        <v>581</v>
      </c>
      <c r="AC338" s="34">
        <f>Z338/R338</f>
        <v>1.0642398286937902</v>
      </c>
      <c r="AD338" s="34">
        <f>AA338/Z338</f>
        <v>1.1488933601609659</v>
      </c>
      <c r="AE338" s="34">
        <f>AB338/AA338</f>
        <v>1.0175131348511384</v>
      </c>
      <c r="AF338" s="35">
        <f>AB338/R338</f>
        <v>1.2441113490364026</v>
      </c>
      <c r="AG338" s="29">
        <f>0.6*Z338+0.4*AA338</f>
        <v>526.6</v>
      </c>
      <c r="AH338" s="54">
        <v>2447</v>
      </c>
      <c r="AI338" s="59">
        <f>AH338/AG338</f>
        <v>4.6467907330041776</v>
      </c>
      <c r="AJ338" s="61">
        <f>AI338/AI$488</f>
        <v>0.98746313423589627</v>
      </c>
    </row>
    <row r="339" spans="1:36" ht="15" customHeight="1" x14ac:dyDescent="0.2">
      <c r="A339" s="27" t="s">
        <v>366</v>
      </c>
      <c r="B339" s="27"/>
      <c r="C339" s="27" t="s">
        <v>325</v>
      </c>
      <c r="D339" s="27">
        <v>4</v>
      </c>
      <c r="E339" s="27"/>
      <c r="F339" s="27"/>
      <c r="G339" s="27" t="s">
        <v>350</v>
      </c>
      <c r="H339" s="27">
        <v>2</v>
      </c>
      <c r="I339" s="27" t="s">
        <v>620</v>
      </c>
      <c r="J339" s="27">
        <v>10</v>
      </c>
      <c r="K339" s="27">
        <v>1</v>
      </c>
      <c r="L339" s="27">
        <v>49</v>
      </c>
      <c r="M339" s="29">
        <v>87</v>
      </c>
      <c r="N339" s="30">
        <v>95</v>
      </c>
      <c r="O339" s="30">
        <v>65</v>
      </c>
      <c r="P339" s="30">
        <v>386</v>
      </c>
      <c r="Q339" s="30">
        <v>380</v>
      </c>
      <c r="R339" s="30">
        <v>831</v>
      </c>
      <c r="S339" s="31">
        <f>R339/N339</f>
        <v>8.7473684210526308</v>
      </c>
      <c r="T339" s="32">
        <f>O339/R339</f>
        <v>7.8219013237063775E-2</v>
      </c>
      <c r="U339" s="32">
        <f>P339/R339</f>
        <v>0.46450060168471718</v>
      </c>
      <c r="V339" s="32">
        <f>Q339/R339</f>
        <v>0.457280385078219</v>
      </c>
      <c r="W339" s="31">
        <f>P339/O339</f>
        <v>5.9384615384615387</v>
      </c>
      <c r="X339" s="31">
        <f>Q339/(O339+P339)</f>
        <v>0.84257206208425717</v>
      </c>
      <c r="Y339" s="65">
        <f>R339/R$488</f>
        <v>2.4140204915770731E-3</v>
      </c>
      <c r="Z339" s="30">
        <v>936</v>
      </c>
      <c r="AA339" s="30">
        <v>1230</v>
      </c>
      <c r="AB339" s="29">
        <v>1819</v>
      </c>
      <c r="AC339" s="34">
        <f>Z339/R339</f>
        <v>1.1263537906137184</v>
      </c>
      <c r="AD339" s="34">
        <f>AA339/Z339</f>
        <v>1.3141025641025641</v>
      </c>
      <c r="AE339" s="34">
        <f>AB339/AA339</f>
        <v>1.4788617886178861</v>
      </c>
      <c r="AF339" s="35">
        <f>AB339/R339</f>
        <v>2.1889290012033693</v>
      </c>
      <c r="AG339" s="29">
        <f>0.6*Z339+0.4*AA339</f>
        <v>1053.5999999999999</v>
      </c>
      <c r="AH339" s="54">
        <v>5131</v>
      </c>
      <c r="AI339" s="59">
        <f>AH339/AG339</f>
        <v>4.8699696279422939</v>
      </c>
      <c r="AJ339" s="61">
        <f>AI339/AI$488</f>
        <v>1.0348896149520654</v>
      </c>
    </row>
    <row r="340" spans="1:36" ht="15" customHeight="1" x14ac:dyDescent="0.2">
      <c r="A340" s="27" t="s">
        <v>316</v>
      </c>
      <c r="B340" s="27"/>
      <c r="C340" s="27" t="s">
        <v>116</v>
      </c>
      <c r="D340" s="27">
        <v>32</v>
      </c>
      <c r="E340" s="27"/>
      <c r="F340" s="27"/>
      <c r="G340" s="27" t="s">
        <v>172</v>
      </c>
      <c r="H340" s="27">
        <v>1</v>
      </c>
      <c r="I340" s="27" t="s">
        <v>12</v>
      </c>
      <c r="J340" s="27">
        <v>1</v>
      </c>
      <c r="K340" s="27">
        <v>6</v>
      </c>
      <c r="L340" s="27">
        <v>53</v>
      </c>
      <c r="M340" s="29">
        <v>81</v>
      </c>
      <c r="N340" s="30">
        <v>81</v>
      </c>
      <c r="O340" s="30">
        <v>136</v>
      </c>
      <c r="P340" s="30">
        <v>25</v>
      </c>
      <c r="Q340" s="30">
        <v>192</v>
      </c>
      <c r="R340" s="30">
        <v>353</v>
      </c>
      <c r="S340" s="31">
        <f>R340/N340</f>
        <v>4.3580246913580245</v>
      </c>
      <c r="T340" s="32">
        <f>O340/R340</f>
        <v>0.38526912181303113</v>
      </c>
      <c r="U340" s="32">
        <f>P340/R340</f>
        <v>7.0821529745042494E-2</v>
      </c>
      <c r="V340" s="32">
        <f>Q340/R340</f>
        <v>0.5439093484419264</v>
      </c>
      <c r="W340" s="31">
        <f>P340/O340</f>
        <v>0.18382352941176472</v>
      </c>
      <c r="X340" s="31">
        <f>Q340/(O340+P340)</f>
        <v>1.1925465838509317</v>
      </c>
      <c r="Y340" s="65">
        <f>R340/R$488</f>
        <v>1.0254503411873726E-3</v>
      </c>
      <c r="Z340" s="30">
        <v>412</v>
      </c>
      <c r="AA340" s="30">
        <v>477</v>
      </c>
      <c r="AB340" s="29">
        <v>517</v>
      </c>
      <c r="AC340" s="34">
        <f>Z340/R340</f>
        <v>1.1671388101983002</v>
      </c>
      <c r="AD340" s="34">
        <f>AA340/Z340</f>
        <v>1.1577669902912622</v>
      </c>
      <c r="AE340" s="34">
        <f>AB340/AA340</f>
        <v>1.0838574423480083</v>
      </c>
      <c r="AF340" s="35">
        <f>AB340/R340</f>
        <v>1.4645892351274787</v>
      </c>
      <c r="AG340" s="29">
        <f>0.6*Z340+0.4*AA340</f>
        <v>438</v>
      </c>
      <c r="AH340" s="54">
        <v>4405</v>
      </c>
      <c r="AI340" s="59">
        <f>AH340/AG340</f>
        <v>10.057077625570777</v>
      </c>
      <c r="AJ340" s="61">
        <f>AI340/AI$488</f>
        <v>2.1371725055023898</v>
      </c>
    </row>
    <row r="341" spans="1:36" ht="15" customHeight="1" x14ac:dyDescent="0.2">
      <c r="A341" s="28" t="s">
        <v>573</v>
      </c>
      <c r="B341" s="28"/>
      <c r="C341" s="27" t="s">
        <v>115</v>
      </c>
      <c r="D341" s="28">
        <v>22</v>
      </c>
      <c r="E341" s="27"/>
      <c r="F341" s="27" t="s">
        <v>478</v>
      </c>
      <c r="G341" s="27" t="s">
        <v>431</v>
      </c>
      <c r="H341" s="27">
        <v>21</v>
      </c>
      <c r="I341" s="27" t="s">
        <v>539</v>
      </c>
      <c r="J341" s="27">
        <v>2</v>
      </c>
      <c r="K341" s="27">
        <v>4</v>
      </c>
      <c r="L341" s="27">
        <v>70</v>
      </c>
      <c r="M341" s="37">
        <v>792</v>
      </c>
      <c r="N341" s="40">
        <v>1823</v>
      </c>
      <c r="O341" s="40">
        <v>47</v>
      </c>
      <c r="P341" s="40">
        <v>1570</v>
      </c>
      <c r="Q341" s="40">
        <v>5696</v>
      </c>
      <c r="R341" s="30">
        <v>7313</v>
      </c>
      <c r="S341" s="31">
        <f>R341/N341</f>
        <v>4.0115194733955022</v>
      </c>
      <c r="T341" s="32">
        <f>O341/R341</f>
        <v>6.4269109804457811E-3</v>
      </c>
      <c r="U341" s="32">
        <f>P341/R341</f>
        <v>0.21468617530425271</v>
      </c>
      <c r="V341" s="32">
        <f>Q341/R341</f>
        <v>0.7788869137153015</v>
      </c>
      <c r="W341" s="31">
        <f>P341/O341</f>
        <v>33.404255319148938</v>
      </c>
      <c r="X341" s="31">
        <f>Q341/(O341+P341)</f>
        <v>3.5225726654298084</v>
      </c>
      <c r="Y341" s="65">
        <f>R341/R$488</f>
        <v>2.1243961317572967E-2</v>
      </c>
      <c r="Z341" s="30">
        <v>8464</v>
      </c>
      <c r="AA341" s="30">
        <v>9385</v>
      </c>
      <c r="AB341" s="38">
        <v>12196</v>
      </c>
      <c r="AC341" s="34">
        <f>Z341/R341</f>
        <v>1.1573909476275126</v>
      </c>
      <c r="AD341" s="34">
        <f>AA341/Z341</f>
        <v>1.1088137996219283</v>
      </c>
      <c r="AE341" s="34">
        <f>AB341/AA341</f>
        <v>1.2995205114544486</v>
      </c>
      <c r="AF341" s="35">
        <f>AB341/R341</f>
        <v>1.6677150280322712</v>
      </c>
      <c r="AG341" s="29">
        <f>0.6*Z341+0.4*AA341</f>
        <v>8832.4</v>
      </c>
      <c r="AH341" s="56">
        <v>33013</v>
      </c>
      <c r="AI341" s="59">
        <f>AH341/AG341</f>
        <v>3.7377156831665235</v>
      </c>
      <c r="AJ341" s="61">
        <f>AI341/AI$488</f>
        <v>0.79428075320192415</v>
      </c>
    </row>
    <row r="342" spans="1:36" ht="15" customHeight="1" x14ac:dyDescent="0.2">
      <c r="A342" s="28" t="s">
        <v>571</v>
      </c>
      <c r="B342" s="28"/>
      <c r="C342" s="27" t="s">
        <v>115</v>
      </c>
      <c r="D342" s="28">
        <v>22</v>
      </c>
      <c r="E342" s="27"/>
      <c r="F342" s="27" t="s">
        <v>478</v>
      </c>
      <c r="G342" s="27" t="s">
        <v>431</v>
      </c>
      <c r="H342" s="27">
        <v>21</v>
      </c>
      <c r="I342" s="27" t="s">
        <v>539</v>
      </c>
      <c r="J342" s="27">
        <v>2</v>
      </c>
      <c r="K342" s="27">
        <v>4</v>
      </c>
      <c r="L342" s="27">
        <v>70</v>
      </c>
      <c r="M342" s="37">
        <v>945</v>
      </c>
      <c r="N342" s="40">
        <v>2176</v>
      </c>
      <c r="O342" s="40">
        <v>56</v>
      </c>
      <c r="P342" s="40">
        <v>1873</v>
      </c>
      <c r="Q342" s="40">
        <v>6798</v>
      </c>
      <c r="R342" s="30">
        <v>8727</v>
      </c>
      <c r="S342" s="31">
        <f>R342/N342</f>
        <v>4.0105698529411766</v>
      </c>
      <c r="T342" s="32">
        <f>O342/R342</f>
        <v>6.4168671937664722E-3</v>
      </c>
      <c r="U342" s="32">
        <f>P342/R342</f>
        <v>0.21462129024865359</v>
      </c>
      <c r="V342" s="32">
        <f>Q342/R342</f>
        <v>0.77896184255757994</v>
      </c>
      <c r="W342" s="31">
        <f>P342/O342</f>
        <v>33.446428571428569</v>
      </c>
      <c r="X342" s="31">
        <f>Q342/(O342+P342)</f>
        <v>3.5241057542768273</v>
      </c>
      <c r="Y342" s="65">
        <f>R342/R$488</f>
        <v>2.5351572599269692E-2</v>
      </c>
      <c r="Z342" s="30">
        <v>12339</v>
      </c>
      <c r="AA342" s="30">
        <v>12206</v>
      </c>
      <c r="AB342" s="38">
        <v>18884</v>
      </c>
      <c r="AC342" s="34">
        <f>Z342/R342</f>
        <v>1.4138879339979373</v>
      </c>
      <c r="AD342" s="34">
        <f>AA342/Z342</f>
        <v>0.98922116865224086</v>
      </c>
      <c r="AE342" s="34">
        <f>AB342/AA342</f>
        <v>1.5471079796821234</v>
      </c>
      <c r="AF342" s="35">
        <f>AB342/R342</f>
        <v>2.163859287269394</v>
      </c>
      <c r="AG342" s="29">
        <f>0.6*Z342+0.4*AA342</f>
        <v>12285.8</v>
      </c>
      <c r="AH342" s="56">
        <v>45924</v>
      </c>
      <c r="AI342" s="59">
        <f>AH342/AG342</f>
        <v>3.7379739211121783</v>
      </c>
      <c r="AJ342" s="61">
        <f>AI342/AI$488</f>
        <v>0.7943356298825941</v>
      </c>
    </row>
    <row r="343" spans="1:36" ht="15" customHeight="1" x14ac:dyDescent="0.2">
      <c r="A343" s="27" t="s">
        <v>387</v>
      </c>
      <c r="B343" s="27"/>
      <c r="C343" s="27" t="s">
        <v>330</v>
      </c>
      <c r="D343" s="27">
        <v>21</v>
      </c>
      <c r="E343" s="27" t="s">
        <v>475</v>
      </c>
      <c r="F343" s="27"/>
      <c r="G343" s="27" t="s">
        <v>330</v>
      </c>
      <c r="H343" s="27">
        <v>15</v>
      </c>
      <c r="I343" s="27" t="s">
        <v>624</v>
      </c>
      <c r="J343" s="27">
        <v>4</v>
      </c>
      <c r="K343" s="27">
        <v>4</v>
      </c>
      <c r="L343" s="27">
        <v>71</v>
      </c>
      <c r="M343" s="29">
        <v>245</v>
      </c>
      <c r="N343" s="30">
        <v>313</v>
      </c>
      <c r="O343" s="30">
        <v>454</v>
      </c>
      <c r="P343" s="30">
        <v>168</v>
      </c>
      <c r="Q343" s="30">
        <v>940</v>
      </c>
      <c r="R343" s="30">
        <v>1562</v>
      </c>
      <c r="S343" s="31">
        <f>R343/N343</f>
        <v>4.9904153354632586</v>
      </c>
      <c r="T343" s="32">
        <f>O343/R343</f>
        <v>0.29065300896286811</v>
      </c>
      <c r="U343" s="32">
        <f>P343/R343</f>
        <v>0.10755441741357234</v>
      </c>
      <c r="V343" s="32">
        <f>Q343/R343</f>
        <v>0.60179257362355953</v>
      </c>
      <c r="W343" s="31">
        <f>P343/O343</f>
        <v>0.37004405286343611</v>
      </c>
      <c r="X343" s="31">
        <f>Q343/(O343+P343)</f>
        <v>1.5112540192926045</v>
      </c>
      <c r="Y343" s="65">
        <f>R343/R$488</f>
        <v>4.5375451357922841E-3</v>
      </c>
      <c r="Z343" s="30">
        <v>1727</v>
      </c>
      <c r="AA343" s="30">
        <v>2044</v>
      </c>
      <c r="AB343" s="29">
        <v>2153</v>
      </c>
      <c r="AC343" s="34">
        <f>Z343/R343</f>
        <v>1.1056338028169015</v>
      </c>
      <c r="AD343" s="34">
        <f>AA343/Z343</f>
        <v>1.1835552982049797</v>
      </c>
      <c r="AE343" s="34">
        <f>AB343/AA343</f>
        <v>1.0533268101761253</v>
      </c>
      <c r="AF343" s="35">
        <f>AB343/R343</f>
        <v>1.3783610755441742</v>
      </c>
      <c r="AG343" s="29">
        <f>0.6*Z343+0.4*AA343</f>
        <v>1853.8000000000002</v>
      </c>
      <c r="AH343" s="54">
        <v>18004</v>
      </c>
      <c r="AI343" s="59">
        <f>AH343/AG343</f>
        <v>9.711943035926204</v>
      </c>
      <c r="AJ343" s="61">
        <f>AI343/AI$488</f>
        <v>2.0638299120425558</v>
      </c>
    </row>
    <row r="344" spans="1:36" ht="15" customHeight="1" x14ac:dyDescent="0.2">
      <c r="A344" s="27" t="s">
        <v>565</v>
      </c>
      <c r="B344" s="27"/>
      <c r="C344" s="27" t="s">
        <v>330</v>
      </c>
      <c r="D344" s="27">
        <v>21</v>
      </c>
      <c r="E344" s="27" t="s">
        <v>475</v>
      </c>
      <c r="F344" s="27"/>
      <c r="G344" s="27" t="s">
        <v>330</v>
      </c>
      <c r="H344" s="27">
        <v>15</v>
      </c>
      <c r="I344" s="27" t="s">
        <v>624</v>
      </c>
      <c r="J344" s="27">
        <v>4</v>
      </c>
      <c r="K344" s="27">
        <v>4</v>
      </c>
      <c r="L344" s="27">
        <v>72</v>
      </c>
      <c r="M344" s="29">
        <v>83</v>
      </c>
      <c r="N344" s="30">
        <v>117</v>
      </c>
      <c r="O344" s="30">
        <v>40</v>
      </c>
      <c r="P344" s="30">
        <v>40</v>
      </c>
      <c r="Q344" s="30">
        <v>524</v>
      </c>
      <c r="R344" s="30">
        <v>604</v>
      </c>
      <c r="S344" s="31">
        <f>R344/N344</f>
        <v>5.1623931623931627</v>
      </c>
      <c r="T344" s="32">
        <f>O344/R344</f>
        <v>6.6225165562913912E-2</v>
      </c>
      <c r="U344" s="32">
        <f>P344/R344</f>
        <v>6.6225165562913912E-2</v>
      </c>
      <c r="V344" s="32">
        <f>Q344/R344</f>
        <v>0.86754966887417218</v>
      </c>
      <c r="W344" s="31">
        <f>P344/O344</f>
        <v>1</v>
      </c>
      <c r="X344" s="31">
        <f>Q344/(O344+P344)</f>
        <v>6.55</v>
      </c>
      <c r="Y344" s="65">
        <f>R344/R$488</f>
        <v>1.7545949180656462E-3</v>
      </c>
      <c r="Z344" s="30">
        <v>715</v>
      </c>
      <c r="AA344" s="30">
        <v>762</v>
      </c>
      <c r="AB344" s="29">
        <v>804</v>
      </c>
      <c r="AC344" s="34">
        <f>Z344/R344</f>
        <v>1.1837748344370862</v>
      </c>
      <c r="AD344" s="34">
        <f>AA344/Z344</f>
        <v>1.0657342657342657</v>
      </c>
      <c r="AE344" s="34">
        <f>AB344/AA344</f>
        <v>1.0551181102362204</v>
      </c>
      <c r="AF344" s="35">
        <f>AB344/R344</f>
        <v>1.3311258278145695</v>
      </c>
      <c r="AG344" s="29">
        <f>0.6*Z344+0.4*AA344</f>
        <v>733.8</v>
      </c>
      <c r="AH344" s="54">
        <v>2480</v>
      </c>
      <c r="AI344" s="59">
        <f>AH344/AG344</f>
        <v>3.3796674843281549</v>
      </c>
      <c r="AJ344" s="61">
        <f>AI344/AI$488</f>
        <v>0.71819396192008944</v>
      </c>
    </row>
    <row r="345" spans="1:36" ht="15" customHeight="1" x14ac:dyDescent="0.2">
      <c r="A345" s="27" t="s">
        <v>388</v>
      </c>
      <c r="B345" s="27"/>
      <c r="C345" s="27" t="s">
        <v>330</v>
      </c>
      <c r="D345" s="27">
        <v>21</v>
      </c>
      <c r="E345" s="27"/>
      <c r="F345" s="27" t="s">
        <v>480</v>
      </c>
      <c r="G345" s="27" t="s">
        <v>330</v>
      </c>
      <c r="H345" s="27">
        <v>15</v>
      </c>
      <c r="I345" s="27" t="s">
        <v>539</v>
      </c>
      <c r="J345" s="27">
        <v>2</v>
      </c>
      <c r="K345" s="27">
        <v>4</v>
      </c>
      <c r="L345" s="27">
        <v>73</v>
      </c>
      <c r="M345" s="29">
        <v>286</v>
      </c>
      <c r="N345" s="30">
        <v>366</v>
      </c>
      <c r="O345" s="30">
        <v>192</v>
      </c>
      <c r="P345" s="30">
        <v>139</v>
      </c>
      <c r="Q345" s="30">
        <v>1302</v>
      </c>
      <c r="R345" s="30">
        <v>1633</v>
      </c>
      <c r="S345" s="31">
        <f>R345/N345</f>
        <v>4.4617486338797816</v>
      </c>
      <c r="T345" s="32">
        <f>O345/R345</f>
        <v>0.11757501530924679</v>
      </c>
      <c r="U345" s="32">
        <f>P345/R345</f>
        <v>8.5119412124923452E-2</v>
      </c>
      <c r="V345" s="32">
        <f>Q345/R345</f>
        <v>0.79730557256582979</v>
      </c>
      <c r="W345" s="31">
        <f>P345/O345</f>
        <v>0.72395833333333337</v>
      </c>
      <c r="X345" s="31">
        <f>Q345/(O345+P345)</f>
        <v>3.9335347432024168</v>
      </c>
      <c r="Y345" s="65">
        <f>R345/R$488</f>
        <v>4.7437971874192061E-3</v>
      </c>
      <c r="Z345" s="30">
        <v>2164</v>
      </c>
      <c r="AA345" s="30">
        <v>2735</v>
      </c>
      <c r="AB345" s="29">
        <v>3088</v>
      </c>
      <c r="AC345" s="34">
        <f>Z345/R345</f>
        <v>1.3251684017146357</v>
      </c>
      <c r="AD345" s="34">
        <f>AA345/Z345</f>
        <v>1.2638632162661738</v>
      </c>
      <c r="AE345" s="34">
        <f>AB345/AA345</f>
        <v>1.1290676416819012</v>
      </c>
      <c r="AF345" s="35">
        <f>AB345/R345</f>
        <v>1.8909981628903858</v>
      </c>
      <c r="AG345" s="29">
        <f>0.6*Z345+0.4*AA345</f>
        <v>2392.3999999999996</v>
      </c>
      <c r="AH345" s="54">
        <v>10955</v>
      </c>
      <c r="AI345" s="59">
        <f>AH345/AG345</f>
        <v>4.5790837652566472</v>
      </c>
      <c r="AJ345" s="61">
        <f>AI345/AI$488</f>
        <v>0.97307511066799157</v>
      </c>
    </row>
    <row r="346" spans="1:36" ht="15" customHeight="1" x14ac:dyDescent="0.2">
      <c r="A346" s="28" t="s">
        <v>206</v>
      </c>
      <c r="B346" s="28"/>
      <c r="C346" s="28" t="s">
        <v>122</v>
      </c>
      <c r="D346" s="28">
        <v>15</v>
      </c>
      <c r="E346" s="27"/>
      <c r="F346" s="27"/>
      <c r="G346" s="27" t="s">
        <v>206</v>
      </c>
      <c r="H346" s="27">
        <v>16</v>
      </c>
      <c r="I346" s="27" t="s">
        <v>618</v>
      </c>
      <c r="J346" s="27">
        <v>6</v>
      </c>
      <c r="K346" s="27">
        <v>6</v>
      </c>
      <c r="L346" s="27">
        <v>51</v>
      </c>
      <c r="M346" s="29">
        <v>72</v>
      </c>
      <c r="N346" s="30">
        <v>72</v>
      </c>
      <c r="O346" s="30">
        <v>168</v>
      </c>
      <c r="P346" s="30">
        <v>48</v>
      </c>
      <c r="Q346" s="30">
        <v>159</v>
      </c>
      <c r="R346" s="30">
        <v>375</v>
      </c>
      <c r="S346" s="31">
        <f>R346/N346</f>
        <v>5.208333333333333</v>
      </c>
      <c r="T346" s="32">
        <f>O346/R346</f>
        <v>0.44800000000000001</v>
      </c>
      <c r="U346" s="32">
        <f>P346/R346</f>
        <v>0.128</v>
      </c>
      <c r="V346" s="32">
        <f>Q346/R346</f>
        <v>0.42399999999999999</v>
      </c>
      <c r="W346" s="31">
        <f>P346/O346</f>
        <v>0.2857142857142857</v>
      </c>
      <c r="X346" s="31">
        <f>Q346/(O346+P346)</f>
        <v>0.73611111111111116</v>
      </c>
      <c r="Y346" s="65">
        <f>R346/R$488</f>
        <v>1.0893594276069824E-3</v>
      </c>
      <c r="Z346" s="30">
        <v>371</v>
      </c>
      <c r="AA346" s="30">
        <v>381</v>
      </c>
      <c r="AB346" s="29">
        <v>439</v>
      </c>
      <c r="AC346" s="34">
        <f>Z346/R346</f>
        <v>0.98933333333333329</v>
      </c>
      <c r="AD346" s="34">
        <f>AA346/Z346</f>
        <v>1.0269541778975741</v>
      </c>
      <c r="AE346" s="34">
        <f>AB346/AA346</f>
        <v>1.1522309711286089</v>
      </c>
      <c r="AF346" s="35">
        <f>AB346/R346</f>
        <v>1.1706666666666667</v>
      </c>
      <c r="AG346" s="29">
        <f>0.6*Z346+0.4*AA346</f>
        <v>375</v>
      </c>
      <c r="AH346" s="54">
        <v>3156</v>
      </c>
      <c r="AI346" s="59">
        <f>AH346/AG346</f>
        <v>8.4160000000000004</v>
      </c>
      <c r="AJ346" s="61">
        <f>AI346/AI$488</f>
        <v>1.7884364102526569</v>
      </c>
    </row>
    <row r="347" spans="1:36" ht="15" customHeight="1" x14ac:dyDescent="0.2">
      <c r="A347" s="27" t="s">
        <v>317</v>
      </c>
      <c r="B347" s="27"/>
      <c r="C347" s="27" t="s">
        <v>116</v>
      </c>
      <c r="D347" s="27">
        <v>32</v>
      </c>
      <c r="E347" s="27"/>
      <c r="F347" s="27"/>
      <c r="G347" s="27" t="s">
        <v>172</v>
      </c>
      <c r="H347" s="27">
        <v>1</v>
      </c>
      <c r="I347" s="27" t="s">
        <v>618</v>
      </c>
      <c r="J347" s="27">
        <v>6</v>
      </c>
      <c r="K347" s="27">
        <v>6</v>
      </c>
      <c r="L347" s="27">
        <v>52</v>
      </c>
      <c r="M347" s="29">
        <v>46</v>
      </c>
      <c r="N347" s="30">
        <v>46</v>
      </c>
      <c r="O347" s="30">
        <v>240</v>
      </c>
      <c r="P347" s="30">
        <v>10</v>
      </c>
      <c r="Q347" s="30">
        <v>0</v>
      </c>
      <c r="R347" s="30">
        <v>250</v>
      </c>
      <c r="S347" s="31">
        <f>R347/N347</f>
        <v>5.4347826086956523</v>
      </c>
      <c r="T347" s="32">
        <f>O347/R347</f>
        <v>0.96</v>
      </c>
      <c r="U347" s="32">
        <f>P347/R347</f>
        <v>0.04</v>
      </c>
      <c r="V347" s="32">
        <f>Q347/R347</f>
        <v>0</v>
      </c>
      <c r="W347" s="31">
        <f>P347/O347</f>
        <v>4.1666666666666664E-2</v>
      </c>
      <c r="X347" s="31">
        <f>Q347/(O347+P347)</f>
        <v>0</v>
      </c>
      <c r="Y347" s="65">
        <f>R347/R$488</f>
        <v>7.262396184046549E-4</v>
      </c>
      <c r="Z347" s="30">
        <v>266</v>
      </c>
      <c r="AA347" s="30">
        <v>270</v>
      </c>
      <c r="AB347" s="29">
        <v>292</v>
      </c>
      <c r="AC347" s="34">
        <f>Z347/R347</f>
        <v>1.0640000000000001</v>
      </c>
      <c r="AD347" s="34">
        <f>AA347/Z347</f>
        <v>1.0150375939849625</v>
      </c>
      <c r="AE347" s="34">
        <f>AB347/AA347</f>
        <v>1.0814814814814815</v>
      </c>
      <c r="AF347" s="35">
        <f>AB347/R347</f>
        <v>1.1679999999999999</v>
      </c>
      <c r="AG347" s="29">
        <f>0.6*Z347+0.4*AA347</f>
        <v>267.60000000000002</v>
      </c>
      <c r="AH347" s="54">
        <v>3451</v>
      </c>
      <c r="AI347" s="59">
        <f>AH347/AG347</f>
        <v>12.896113602391628</v>
      </c>
      <c r="AJ347" s="61">
        <f>AI347/AI$488</f>
        <v>2.7404799331359007</v>
      </c>
    </row>
    <row r="348" spans="1:36" ht="15" customHeight="1" x14ac:dyDescent="0.2">
      <c r="A348" s="28" t="s">
        <v>291</v>
      </c>
      <c r="B348" s="28"/>
      <c r="C348" s="28" t="s">
        <v>124</v>
      </c>
      <c r="D348" s="28">
        <v>30</v>
      </c>
      <c r="E348" s="27"/>
      <c r="F348" s="27"/>
      <c r="G348" s="27" t="s">
        <v>201</v>
      </c>
      <c r="H348" s="27">
        <v>3</v>
      </c>
      <c r="I348" s="27" t="s">
        <v>621</v>
      </c>
      <c r="J348" s="27">
        <v>7</v>
      </c>
      <c r="K348" s="27">
        <v>2</v>
      </c>
      <c r="L348" s="27">
        <v>68</v>
      </c>
      <c r="M348" s="29">
        <v>60</v>
      </c>
      <c r="N348" s="30">
        <v>63</v>
      </c>
      <c r="O348" s="30">
        <v>259</v>
      </c>
      <c r="P348" s="30">
        <v>13</v>
      </c>
      <c r="Q348" s="30">
        <v>2</v>
      </c>
      <c r="R348" s="30">
        <v>274</v>
      </c>
      <c r="S348" s="31">
        <f>R348/N348</f>
        <v>4.3492063492063489</v>
      </c>
      <c r="T348" s="32">
        <f>O348/R348</f>
        <v>0.94525547445255476</v>
      </c>
      <c r="U348" s="32">
        <f>P348/R348</f>
        <v>4.7445255474452552E-2</v>
      </c>
      <c r="V348" s="32">
        <f>Q348/R348</f>
        <v>7.2992700729927005E-3</v>
      </c>
      <c r="W348" s="31">
        <f>P348/O348</f>
        <v>5.019305019305019E-2</v>
      </c>
      <c r="X348" s="31">
        <f>Q348/(O348+P348)</f>
        <v>7.3529411764705881E-3</v>
      </c>
      <c r="Y348" s="65">
        <f>R348/R$488</f>
        <v>7.9595862177150173E-4</v>
      </c>
      <c r="Z348" s="30">
        <v>280</v>
      </c>
      <c r="AA348" s="30">
        <v>321</v>
      </c>
      <c r="AB348" s="29">
        <v>331</v>
      </c>
      <c r="AC348" s="34">
        <f>Z348/R348</f>
        <v>1.0218978102189782</v>
      </c>
      <c r="AD348" s="34">
        <f>AA348/Z348</f>
        <v>1.1464285714285714</v>
      </c>
      <c r="AE348" s="34">
        <f>AB348/AA348</f>
        <v>1.0311526479750779</v>
      </c>
      <c r="AF348" s="35">
        <f>AB348/R348</f>
        <v>1.2080291970802919</v>
      </c>
      <c r="AG348" s="29">
        <f>0.6*Z348+0.4*AA348</f>
        <v>296.39999999999998</v>
      </c>
      <c r="AH348" s="54">
        <v>1576</v>
      </c>
      <c r="AI348" s="59">
        <f>AH348/AG348</f>
        <v>5.3171390013495277</v>
      </c>
      <c r="AJ348" s="61">
        <f>AI348/AI$488</f>
        <v>1.129915041395906</v>
      </c>
    </row>
    <row r="349" spans="1:36" ht="15" customHeight="1" x14ac:dyDescent="0.2">
      <c r="A349" s="27" t="s">
        <v>195</v>
      </c>
      <c r="B349" s="27"/>
      <c r="C349" s="28" t="s">
        <v>35</v>
      </c>
      <c r="D349" s="28">
        <v>11</v>
      </c>
      <c r="E349" s="27"/>
      <c r="F349" s="27"/>
      <c r="G349" s="27" t="s">
        <v>106</v>
      </c>
      <c r="H349" s="27">
        <v>12</v>
      </c>
      <c r="I349" s="27" t="s">
        <v>111</v>
      </c>
      <c r="J349" s="27">
        <v>5</v>
      </c>
      <c r="K349" s="27">
        <v>6</v>
      </c>
      <c r="L349" s="27">
        <v>49</v>
      </c>
      <c r="M349" s="29">
        <v>47</v>
      </c>
      <c r="N349" s="30">
        <v>50</v>
      </c>
      <c r="O349" s="30">
        <v>34</v>
      </c>
      <c r="P349" s="30">
        <v>31</v>
      </c>
      <c r="Q349" s="30">
        <v>110</v>
      </c>
      <c r="R349" s="30">
        <v>175</v>
      </c>
      <c r="S349" s="31">
        <f>R349/N349</f>
        <v>3.5</v>
      </c>
      <c r="T349" s="32">
        <f>O349/R349</f>
        <v>0.19428571428571428</v>
      </c>
      <c r="U349" s="32">
        <f>P349/R349</f>
        <v>0.17714285714285713</v>
      </c>
      <c r="V349" s="32">
        <f>Q349/R349</f>
        <v>0.62857142857142856</v>
      </c>
      <c r="W349" s="31">
        <f>P349/O349</f>
        <v>0.91176470588235292</v>
      </c>
      <c r="X349" s="31">
        <f>Q349/(O349+P349)</f>
        <v>1.6923076923076923</v>
      </c>
      <c r="Y349" s="65">
        <f>R349/R$488</f>
        <v>5.0836773288325844E-4</v>
      </c>
      <c r="Z349" s="30">
        <v>245</v>
      </c>
      <c r="AA349" s="30">
        <v>216</v>
      </c>
      <c r="AB349" s="29">
        <v>275</v>
      </c>
      <c r="AC349" s="34">
        <f>Z349/R349</f>
        <v>1.4</v>
      </c>
      <c r="AD349" s="34">
        <f>AA349/Z349</f>
        <v>0.88163265306122451</v>
      </c>
      <c r="AE349" s="34">
        <f>AB349/AA349</f>
        <v>1.2731481481481481</v>
      </c>
      <c r="AF349" s="35">
        <f>AB349/R349</f>
        <v>1.5714285714285714</v>
      </c>
      <c r="AG349" s="29">
        <f>0.6*Z349+0.4*AA349</f>
        <v>233.4</v>
      </c>
      <c r="AH349" s="54">
        <v>2749</v>
      </c>
      <c r="AI349" s="59">
        <f>AH349/AG349</f>
        <v>11.778063410454156</v>
      </c>
      <c r="AJ349" s="61">
        <f>AI349/AI$488</f>
        <v>2.5028894303137825</v>
      </c>
    </row>
    <row r="350" spans="1:36" ht="15" customHeight="1" x14ac:dyDescent="0.2">
      <c r="A350" s="28" t="s">
        <v>303</v>
      </c>
      <c r="B350" s="28"/>
      <c r="C350" s="28" t="s">
        <v>119</v>
      </c>
      <c r="D350" s="28">
        <v>31</v>
      </c>
      <c r="E350" s="27"/>
      <c r="F350" s="27"/>
      <c r="G350" s="27" t="s">
        <v>332</v>
      </c>
      <c r="H350" s="27">
        <v>18</v>
      </c>
      <c r="I350" s="27" t="s">
        <v>621</v>
      </c>
      <c r="J350" s="27">
        <v>7</v>
      </c>
      <c r="K350" s="27">
        <v>2</v>
      </c>
      <c r="L350" s="27">
        <v>69</v>
      </c>
      <c r="M350" s="29">
        <v>28</v>
      </c>
      <c r="N350" s="30">
        <v>28</v>
      </c>
      <c r="O350" s="30">
        <v>66</v>
      </c>
      <c r="P350" s="30">
        <v>8</v>
      </c>
      <c r="Q350" s="30">
        <v>61</v>
      </c>
      <c r="R350" s="30">
        <v>135</v>
      </c>
      <c r="S350" s="31">
        <f>R350/N350</f>
        <v>4.8214285714285712</v>
      </c>
      <c r="T350" s="32">
        <f>O350/R350</f>
        <v>0.48888888888888887</v>
      </c>
      <c r="U350" s="32">
        <f>P350/R350</f>
        <v>5.9259259259259262E-2</v>
      </c>
      <c r="V350" s="32">
        <f>Q350/R350</f>
        <v>0.45185185185185184</v>
      </c>
      <c r="W350" s="31">
        <f>P350/O350</f>
        <v>0.12121212121212122</v>
      </c>
      <c r="X350" s="31">
        <f>Q350/(O350+P350)</f>
        <v>0.82432432432432434</v>
      </c>
      <c r="Y350" s="65">
        <f>R350/R$488</f>
        <v>3.9216939393851364E-4</v>
      </c>
      <c r="Z350" s="30">
        <v>158</v>
      </c>
      <c r="AA350" s="30">
        <v>176</v>
      </c>
      <c r="AB350" s="29">
        <v>184</v>
      </c>
      <c r="AC350" s="34">
        <f>Z350/R350</f>
        <v>1.1703703703703703</v>
      </c>
      <c r="AD350" s="34">
        <f>AA350/Z350</f>
        <v>1.1139240506329113</v>
      </c>
      <c r="AE350" s="34">
        <f>AB350/AA350</f>
        <v>1.0454545454545454</v>
      </c>
      <c r="AF350" s="35">
        <f>AB350/R350</f>
        <v>1.3629629629629629</v>
      </c>
      <c r="AG350" s="29">
        <f>0.6*Z350+0.4*AA350</f>
        <v>165.2</v>
      </c>
      <c r="AH350" s="54">
        <v>876</v>
      </c>
      <c r="AI350" s="59">
        <f>AH350/AG350</f>
        <v>5.3026634382566593</v>
      </c>
      <c r="AJ350" s="61">
        <f>AI350/AI$488</f>
        <v>1.1268389216128505</v>
      </c>
    </row>
    <row r="351" spans="1:36" ht="15" customHeight="1" x14ac:dyDescent="0.2">
      <c r="A351" s="28" t="s">
        <v>146</v>
      </c>
      <c r="B351" s="28"/>
      <c r="C351" s="28" t="s">
        <v>117</v>
      </c>
      <c r="D351" s="28">
        <v>3</v>
      </c>
      <c r="E351" s="27"/>
      <c r="F351" s="27"/>
      <c r="G351" s="27" t="s">
        <v>138</v>
      </c>
      <c r="H351" s="27">
        <v>9</v>
      </c>
      <c r="I351" s="27" t="s">
        <v>619</v>
      </c>
      <c r="J351" s="27">
        <v>9</v>
      </c>
      <c r="K351" s="27">
        <v>3</v>
      </c>
      <c r="L351" s="27">
        <v>38</v>
      </c>
      <c r="M351" s="29">
        <v>89</v>
      </c>
      <c r="N351" s="30">
        <v>89</v>
      </c>
      <c r="O351" s="30">
        <v>347</v>
      </c>
      <c r="P351" s="30">
        <v>17</v>
      </c>
      <c r="Q351" s="30">
        <v>135</v>
      </c>
      <c r="R351" s="30">
        <v>499</v>
      </c>
      <c r="S351" s="31">
        <f>R351/N351</f>
        <v>5.606741573033708</v>
      </c>
      <c r="T351" s="32">
        <f>O351/R351</f>
        <v>0.69539078156312628</v>
      </c>
      <c r="U351" s="32">
        <f>P351/R351</f>
        <v>3.406813627254509E-2</v>
      </c>
      <c r="V351" s="32">
        <f>Q351/R351</f>
        <v>0.27054108216432865</v>
      </c>
      <c r="W351" s="31">
        <f>P351/O351</f>
        <v>4.8991354466858789E-2</v>
      </c>
      <c r="X351" s="31">
        <f>Q351/(O351+P351)</f>
        <v>0.37087912087912089</v>
      </c>
      <c r="Y351" s="65">
        <f>R351/R$488</f>
        <v>1.4495742783356912E-3</v>
      </c>
      <c r="Z351" s="30">
        <v>560</v>
      </c>
      <c r="AA351" s="30">
        <v>630</v>
      </c>
      <c r="AB351" s="29">
        <v>700</v>
      </c>
      <c r="AC351" s="34">
        <f>Z351/R351</f>
        <v>1.1222444889779559</v>
      </c>
      <c r="AD351" s="34">
        <f>AA351/Z351</f>
        <v>1.125</v>
      </c>
      <c r="AE351" s="34">
        <f>AB351/AA351</f>
        <v>1.1111111111111112</v>
      </c>
      <c r="AF351" s="35">
        <f>AB351/R351</f>
        <v>1.402805611222445</v>
      </c>
      <c r="AG351" s="29">
        <f>0.6*Z351+0.4*AA351</f>
        <v>588</v>
      </c>
      <c r="AH351" s="54">
        <v>2027</v>
      </c>
      <c r="AI351" s="59">
        <f>AH351/AG351</f>
        <v>3.4472789115646258</v>
      </c>
      <c r="AJ351" s="61">
        <f>AI351/AI$488</f>
        <v>0.73256168271605582</v>
      </c>
    </row>
    <row r="352" spans="1:36" ht="15" customHeight="1" x14ac:dyDescent="0.2">
      <c r="A352" s="28" t="s">
        <v>304</v>
      </c>
      <c r="B352" s="28"/>
      <c r="C352" s="28" t="s">
        <v>119</v>
      </c>
      <c r="D352" s="28">
        <v>31</v>
      </c>
      <c r="E352" s="27"/>
      <c r="F352" s="27"/>
      <c r="G352" s="27" t="s">
        <v>332</v>
      </c>
      <c r="H352" s="27">
        <v>18</v>
      </c>
      <c r="I352" s="27" t="s">
        <v>620</v>
      </c>
      <c r="J352" s="27">
        <v>10</v>
      </c>
      <c r="K352" s="27">
        <v>3</v>
      </c>
      <c r="L352" s="27">
        <v>39</v>
      </c>
      <c r="M352" s="29">
        <v>68</v>
      </c>
      <c r="N352" s="30">
        <v>77</v>
      </c>
      <c r="O352" s="30">
        <v>100</v>
      </c>
      <c r="P352" s="30">
        <v>30</v>
      </c>
      <c r="Q352" s="30">
        <v>210</v>
      </c>
      <c r="R352" s="30">
        <v>340</v>
      </c>
      <c r="S352" s="31">
        <f>R352/N352</f>
        <v>4.4155844155844157</v>
      </c>
      <c r="T352" s="32">
        <f>O352/R352</f>
        <v>0.29411764705882354</v>
      </c>
      <c r="U352" s="32">
        <f>P352/R352</f>
        <v>8.8235294117647065E-2</v>
      </c>
      <c r="V352" s="32">
        <f>Q352/R352</f>
        <v>0.61764705882352944</v>
      </c>
      <c r="W352" s="31">
        <f>P352/O352</f>
        <v>0.3</v>
      </c>
      <c r="X352" s="31">
        <f>Q352/(O352+P352)</f>
        <v>1.6153846153846154</v>
      </c>
      <c r="Y352" s="65">
        <f>R352/R$488</f>
        <v>9.8768588103033059E-4</v>
      </c>
      <c r="Z352" s="30">
        <v>326</v>
      </c>
      <c r="AA352" s="30">
        <v>395</v>
      </c>
      <c r="AB352" s="29">
        <v>472</v>
      </c>
      <c r="AC352" s="34">
        <f>Z352/R352</f>
        <v>0.95882352941176474</v>
      </c>
      <c r="AD352" s="34">
        <f>AA352/Z352</f>
        <v>1.2116564417177915</v>
      </c>
      <c r="AE352" s="34">
        <f>AB352/AA352</f>
        <v>1.1949367088607594</v>
      </c>
      <c r="AF352" s="35">
        <f>AB352/R352</f>
        <v>1.388235294117647</v>
      </c>
      <c r="AG352" s="29">
        <f>0.6*Z352+0.4*AA352</f>
        <v>353.6</v>
      </c>
      <c r="AH352" s="54">
        <v>1848</v>
      </c>
      <c r="AI352" s="59">
        <f>AH352/AG352</f>
        <v>5.2262443438914028</v>
      </c>
      <c r="AJ352" s="61">
        <f>AI352/AI$488</f>
        <v>1.11059953344729</v>
      </c>
    </row>
    <row r="353" spans="1:36" ht="15" customHeight="1" x14ac:dyDescent="0.2">
      <c r="A353" s="27" t="s">
        <v>22</v>
      </c>
      <c r="B353" s="27"/>
      <c r="C353" s="27" t="s">
        <v>110</v>
      </c>
      <c r="D353" s="27">
        <v>26</v>
      </c>
      <c r="E353" s="27"/>
      <c r="F353" s="27"/>
      <c r="G353" s="27" t="s">
        <v>26</v>
      </c>
      <c r="H353" s="27">
        <v>24</v>
      </c>
      <c r="I353" s="27" t="s">
        <v>624</v>
      </c>
      <c r="J353" s="27">
        <v>4</v>
      </c>
      <c r="K353" s="27">
        <v>4</v>
      </c>
      <c r="L353" s="27">
        <v>77</v>
      </c>
      <c r="M353" s="29">
        <v>77</v>
      </c>
      <c r="N353" s="30">
        <v>82</v>
      </c>
      <c r="O353" s="30">
        <v>126</v>
      </c>
      <c r="P353" s="30">
        <v>24</v>
      </c>
      <c r="Q353" s="30">
        <v>301</v>
      </c>
      <c r="R353" s="30">
        <v>451</v>
      </c>
      <c r="S353" s="31">
        <f>R353/N353</f>
        <v>5.5</v>
      </c>
      <c r="T353" s="32">
        <f>O353/R353</f>
        <v>0.2793791574279379</v>
      </c>
      <c r="U353" s="32">
        <f>P353/R353</f>
        <v>5.3215077605321508E-2</v>
      </c>
      <c r="V353" s="32">
        <f>Q353/R353</f>
        <v>0.66740576496674053</v>
      </c>
      <c r="W353" s="31">
        <f>P353/O353</f>
        <v>0.19047619047619047</v>
      </c>
      <c r="X353" s="31">
        <f>Q353/(O353+P353)</f>
        <v>2.0066666666666668</v>
      </c>
      <c r="Y353" s="65">
        <f>R353/R$488</f>
        <v>1.3101362716019973E-3</v>
      </c>
      <c r="Z353" s="30">
        <v>481</v>
      </c>
      <c r="AA353" s="30">
        <v>559</v>
      </c>
      <c r="AB353" s="29">
        <v>506</v>
      </c>
      <c r="AC353" s="34">
        <f>Z353/R353</f>
        <v>1.0665188470066518</v>
      </c>
      <c r="AD353" s="34">
        <f>AA353/Z353</f>
        <v>1.1621621621621621</v>
      </c>
      <c r="AE353" s="34">
        <f>AB353/AA353</f>
        <v>0.90518783542039361</v>
      </c>
      <c r="AF353" s="35">
        <f>AB353/R353</f>
        <v>1.1219512195121952</v>
      </c>
      <c r="AG353" s="29">
        <f>0.6*Z353+0.4*AA353</f>
        <v>512.20000000000005</v>
      </c>
      <c r="AH353" s="54">
        <v>3221</v>
      </c>
      <c r="AI353" s="59">
        <f>AH353/AG353</f>
        <v>6.2885591565794607</v>
      </c>
      <c r="AJ353" s="61">
        <f>AI353/AI$488</f>
        <v>1.3363460270501957</v>
      </c>
    </row>
    <row r="354" spans="1:36" ht="15" customHeight="1" x14ac:dyDescent="0.2">
      <c r="A354" s="27" t="s">
        <v>389</v>
      </c>
      <c r="B354" s="27"/>
      <c r="C354" s="27" t="s">
        <v>330</v>
      </c>
      <c r="D354" s="27">
        <v>21</v>
      </c>
      <c r="E354" s="27"/>
      <c r="F354" s="27"/>
      <c r="G354" s="27" t="s">
        <v>330</v>
      </c>
      <c r="H354" s="27">
        <v>15</v>
      </c>
      <c r="I354" s="27" t="s">
        <v>624</v>
      </c>
      <c r="J354" s="27">
        <v>4</v>
      </c>
      <c r="K354" s="27">
        <v>4</v>
      </c>
      <c r="L354" s="27">
        <v>76</v>
      </c>
      <c r="M354" s="29">
        <v>75</v>
      </c>
      <c r="N354" s="30">
        <v>78</v>
      </c>
      <c r="O354" s="30">
        <v>43</v>
      </c>
      <c r="P354" s="30">
        <v>37</v>
      </c>
      <c r="Q354" s="30">
        <v>337</v>
      </c>
      <c r="R354" s="30">
        <v>417</v>
      </c>
      <c r="S354" s="31">
        <f>R354/N354</f>
        <v>5.3461538461538458</v>
      </c>
      <c r="T354" s="32">
        <f>O354/R354</f>
        <v>0.10311750599520383</v>
      </c>
      <c r="U354" s="32">
        <f>P354/R354</f>
        <v>8.8729016786570747E-2</v>
      </c>
      <c r="V354" s="32">
        <f>Q354/R354</f>
        <v>0.80815347721822539</v>
      </c>
      <c r="W354" s="31">
        <f>P354/O354</f>
        <v>0.86046511627906974</v>
      </c>
      <c r="X354" s="31">
        <f>Q354/(O354+P354)</f>
        <v>4.2125000000000004</v>
      </c>
      <c r="Y354" s="65">
        <f>R354/R$488</f>
        <v>1.2113676834989643E-3</v>
      </c>
      <c r="Z354" s="30">
        <v>445</v>
      </c>
      <c r="AA354" s="30">
        <v>484</v>
      </c>
      <c r="AB354" s="29">
        <v>492</v>
      </c>
      <c r="AC354" s="34">
        <f>Z354/R354</f>
        <v>1.0671462829736211</v>
      </c>
      <c r="AD354" s="34">
        <f>AA354/Z354</f>
        <v>1.0876404494382022</v>
      </c>
      <c r="AE354" s="34">
        <f>AB354/AA354</f>
        <v>1.0165289256198347</v>
      </c>
      <c r="AF354" s="35">
        <f>AB354/R354</f>
        <v>1.1798561151079137</v>
      </c>
      <c r="AG354" s="29">
        <f>0.6*Z354+0.4*AA354</f>
        <v>460.6</v>
      </c>
      <c r="AH354" s="54">
        <v>2044</v>
      </c>
      <c r="AI354" s="59">
        <f>AH354/AG354</f>
        <v>4.4376899696048628</v>
      </c>
      <c r="AJ354" s="61">
        <f>AI354/AI$488</f>
        <v>0.94302831737813009</v>
      </c>
    </row>
    <row r="355" spans="1:36" ht="15" customHeight="1" x14ac:dyDescent="0.2">
      <c r="A355" s="27" t="s">
        <v>594</v>
      </c>
      <c r="B355" s="27"/>
      <c r="C355" s="27" t="s">
        <v>116</v>
      </c>
      <c r="D355" s="27">
        <v>32</v>
      </c>
      <c r="E355" s="27"/>
      <c r="F355" s="27"/>
      <c r="G355" s="27" t="s">
        <v>206</v>
      </c>
      <c r="H355" s="27">
        <v>16</v>
      </c>
      <c r="I355" s="27" t="s">
        <v>618</v>
      </c>
      <c r="J355" s="27">
        <v>6</v>
      </c>
      <c r="K355" s="27">
        <v>6</v>
      </c>
      <c r="L355" s="27">
        <v>54</v>
      </c>
      <c r="M355" s="37">
        <v>22</v>
      </c>
      <c r="N355" s="40">
        <v>27</v>
      </c>
      <c r="O355" s="40">
        <v>91</v>
      </c>
      <c r="P355" s="40">
        <v>32</v>
      </c>
      <c r="Q355" s="40">
        <v>6</v>
      </c>
      <c r="R355" s="30">
        <v>129</v>
      </c>
      <c r="S355" s="31">
        <f>R356/N356</f>
        <v>4.7142857142857144</v>
      </c>
      <c r="T355" s="32">
        <f>O356/R356</f>
        <v>0.71212121212121215</v>
      </c>
      <c r="U355" s="32">
        <f>P356/R356</f>
        <v>0.24242424242424243</v>
      </c>
      <c r="V355" s="32">
        <f>Q356/R356</f>
        <v>4.5454545454545456E-2</v>
      </c>
      <c r="W355" s="31">
        <f>P356/O356</f>
        <v>0.34042553191489361</v>
      </c>
      <c r="X355" s="31">
        <f>Q355/(O355+P355)</f>
        <v>4.878048780487805E-2</v>
      </c>
      <c r="Y355" s="65">
        <f>R355/R$488</f>
        <v>3.7473964309680196E-4</v>
      </c>
      <c r="Z355" s="30">
        <v>152</v>
      </c>
      <c r="AA355" s="30">
        <v>188</v>
      </c>
      <c r="AB355" s="30">
        <v>186</v>
      </c>
      <c r="AC355" s="34">
        <f>Z355/R356</f>
        <v>2.3030303030303032</v>
      </c>
      <c r="AD355" s="34">
        <f>AA355/Z355</f>
        <v>1.236842105263158</v>
      </c>
      <c r="AE355" s="34">
        <f>AB355/AA355</f>
        <v>0.98936170212765961</v>
      </c>
      <c r="AF355" s="35">
        <f>AB355/R356</f>
        <v>2.8181818181818183</v>
      </c>
      <c r="AG355" s="29">
        <f>0.6*Z355+0.4*AA355</f>
        <v>166.4</v>
      </c>
      <c r="AH355" s="54">
        <v>1722</v>
      </c>
      <c r="AI355" s="59">
        <f>AH355/AG355</f>
        <v>10.348557692307692</v>
      </c>
      <c r="AJ355" s="61">
        <f>AI355/AI$488</f>
        <v>2.1991132807180711</v>
      </c>
    </row>
    <row r="356" spans="1:36" ht="15" customHeight="1" x14ac:dyDescent="0.2">
      <c r="A356" s="28" t="s">
        <v>595</v>
      </c>
      <c r="B356" s="28"/>
      <c r="C356" s="28" t="s">
        <v>122</v>
      </c>
      <c r="D356" s="28">
        <v>15</v>
      </c>
      <c r="E356" s="27"/>
      <c r="F356" s="27"/>
      <c r="G356" s="27" t="s">
        <v>206</v>
      </c>
      <c r="H356" s="27">
        <v>16</v>
      </c>
      <c r="I356" s="27" t="s">
        <v>618</v>
      </c>
      <c r="J356" s="27">
        <v>6</v>
      </c>
      <c r="K356" s="27">
        <v>6</v>
      </c>
      <c r="L356" s="27">
        <v>54</v>
      </c>
      <c r="M356" s="51">
        <v>11</v>
      </c>
      <c r="N356" s="51">
        <v>14</v>
      </c>
      <c r="O356" s="51">
        <v>47</v>
      </c>
      <c r="P356" s="51">
        <v>16</v>
      </c>
      <c r="Q356" s="51">
        <v>3</v>
      </c>
      <c r="R356" s="27">
        <v>66</v>
      </c>
      <c r="S356" s="31">
        <f>R357/N357</f>
        <v>5.15</v>
      </c>
      <c r="T356" s="32">
        <f>O357/R357</f>
        <v>0.22653721682847897</v>
      </c>
      <c r="U356" s="32">
        <f>P357/R357</f>
        <v>6.4724919093851127E-2</v>
      </c>
      <c r="V356" s="32">
        <f>Q357/R357</f>
        <v>0.70873786407766992</v>
      </c>
      <c r="W356" s="31">
        <f>P357/O357</f>
        <v>0.2857142857142857</v>
      </c>
      <c r="X356" s="31">
        <f>Q356/(O356+P356)</f>
        <v>4.7619047619047616E-2</v>
      </c>
      <c r="Y356" s="65">
        <f>R356/R$488</f>
        <v>1.9172725925882889E-4</v>
      </c>
      <c r="Z356" s="30">
        <v>131</v>
      </c>
      <c r="AA356" s="30">
        <v>92</v>
      </c>
      <c r="AB356" s="38">
        <v>100</v>
      </c>
      <c r="AC356" s="34">
        <f>Z356/R357</f>
        <v>0.42394822006472493</v>
      </c>
      <c r="AD356" s="34">
        <f>AA356/Z356</f>
        <v>0.70229007633587781</v>
      </c>
      <c r="AE356" s="34">
        <f>AB356/AA356</f>
        <v>1.0869565217391304</v>
      </c>
      <c r="AF356" s="35">
        <f>AB356/R357</f>
        <v>0.32362459546925565</v>
      </c>
      <c r="AG356" s="29">
        <f>0.6*Z356+0.4*AA356</f>
        <v>115.4</v>
      </c>
      <c r="AH356" s="54">
        <v>1019</v>
      </c>
      <c r="AI356" s="59">
        <f>AH356/AG356</f>
        <v>8.8301559792027717</v>
      </c>
      <c r="AJ356" s="61">
        <f>AI356/AI$488</f>
        <v>1.8764463476017632</v>
      </c>
    </row>
    <row r="357" spans="1:36" ht="15" customHeight="1" x14ac:dyDescent="0.2">
      <c r="A357" s="27" t="s">
        <v>191</v>
      </c>
      <c r="B357" s="27"/>
      <c r="C357" s="28" t="s">
        <v>81</v>
      </c>
      <c r="D357" s="27">
        <v>10</v>
      </c>
      <c r="E357" s="27"/>
      <c r="F357" s="27"/>
      <c r="G357" s="27" t="s">
        <v>287</v>
      </c>
      <c r="H357" s="27">
        <v>25</v>
      </c>
      <c r="I357" s="27" t="s">
        <v>624</v>
      </c>
      <c r="J357" s="27">
        <v>4</v>
      </c>
      <c r="K357" s="27">
        <v>4</v>
      </c>
      <c r="L357" s="27">
        <v>78</v>
      </c>
      <c r="M357" s="29">
        <v>54</v>
      </c>
      <c r="N357" s="30">
        <v>60</v>
      </c>
      <c r="O357" s="30">
        <v>70</v>
      </c>
      <c r="P357" s="30">
        <v>20</v>
      </c>
      <c r="Q357" s="30">
        <v>219</v>
      </c>
      <c r="R357" s="30">
        <v>309</v>
      </c>
      <c r="S357" s="31">
        <f>R357/N357</f>
        <v>5.15</v>
      </c>
      <c r="T357" s="32">
        <f>O357/R357</f>
        <v>0.22653721682847897</v>
      </c>
      <c r="U357" s="32">
        <f>P357/R357</f>
        <v>6.4724919093851127E-2</v>
      </c>
      <c r="V357" s="32">
        <f>Q357/R357</f>
        <v>0.70873786407766992</v>
      </c>
      <c r="W357" s="31">
        <f>P357/O357</f>
        <v>0.2857142857142857</v>
      </c>
      <c r="X357" s="31">
        <f>Q357/(O357+P357)</f>
        <v>2.4333333333333331</v>
      </c>
      <c r="Y357" s="65">
        <f>R357/R$488</f>
        <v>8.9763216834815344E-4</v>
      </c>
      <c r="Z357" s="30">
        <v>302</v>
      </c>
      <c r="AA357" s="30">
        <v>328</v>
      </c>
      <c r="AB357" s="29">
        <v>309</v>
      </c>
      <c r="AC357" s="34">
        <f>Z357/R357</f>
        <v>0.97734627831715215</v>
      </c>
      <c r="AD357" s="34">
        <f>AA357/Z357</f>
        <v>1.0860927152317881</v>
      </c>
      <c r="AE357" s="34">
        <f>AB357/AA357</f>
        <v>0.94207317073170727</v>
      </c>
      <c r="AF357" s="35">
        <f>AB357/R357</f>
        <v>1</v>
      </c>
      <c r="AG357" s="29">
        <f>0.6*Z357+0.4*AA357</f>
        <v>312.39999999999998</v>
      </c>
      <c r="AH357" s="54">
        <v>1819</v>
      </c>
      <c r="AI357" s="59">
        <f>AH357/AG357</f>
        <v>5.8226632522407176</v>
      </c>
      <c r="AJ357" s="61">
        <f>AI357/AI$488</f>
        <v>1.2373411317665695</v>
      </c>
    </row>
    <row r="358" spans="1:36" ht="15" customHeight="1" x14ac:dyDescent="0.2">
      <c r="A358" s="27" t="s">
        <v>546</v>
      </c>
      <c r="B358" s="27"/>
      <c r="C358" s="27" t="s">
        <v>327</v>
      </c>
      <c r="D358" s="27">
        <v>12</v>
      </c>
      <c r="E358" s="27"/>
      <c r="F358" s="27"/>
      <c r="G358" s="27" t="s">
        <v>427</v>
      </c>
      <c r="H358" s="27">
        <v>23</v>
      </c>
      <c r="I358" s="27" t="s">
        <v>619</v>
      </c>
      <c r="J358" s="27">
        <v>9</v>
      </c>
      <c r="K358" s="27">
        <v>2</v>
      </c>
      <c r="L358" s="27">
        <v>70</v>
      </c>
      <c r="M358" s="29">
        <v>73</v>
      </c>
      <c r="N358" s="30">
        <v>83</v>
      </c>
      <c r="O358" s="30">
        <v>418</v>
      </c>
      <c r="P358" s="30">
        <v>39</v>
      </c>
      <c r="Q358" s="30">
        <v>4</v>
      </c>
      <c r="R358" s="30">
        <v>461</v>
      </c>
      <c r="S358" s="31">
        <f>R358/N358</f>
        <v>5.5542168674698793</v>
      </c>
      <c r="T358" s="32">
        <f>O358/R358</f>
        <v>0.90672451193058567</v>
      </c>
      <c r="U358" s="32">
        <f>P358/R358</f>
        <v>8.4598698481561818E-2</v>
      </c>
      <c r="V358" s="32">
        <f>Q358/R358</f>
        <v>8.6767895878524948E-3</v>
      </c>
      <c r="W358" s="31">
        <f>P358/O358</f>
        <v>9.3301435406698566E-2</v>
      </c>
      <c r="X358" s="31">
        <f>Q358/(O358+P358)</f>
        <v>8.7527352297592995E-3</v>
      </c>
      <c r="Y358" s="65">
        <f>R358/R$488</f>
        <v>1.3391858563381836E-3</v>
      </c>
      <c r="Z358" s="30">
        <v>453</v>
      </c>
      <c r="AA358" s="30">
        <v>523</v>
      </c>
      <c r="AB358" s="29">
        <v>584</v>
      </c>
      <c r="AC358" s="34">
        <f>Z358/R358</f>
        <v>0.98264642082429499</v>
      </c>
      <c r="AD358" s="34">
        <f>AA358/Z358</f>
        <v>1.1545253863134657</v>
      </c>
      <c r="AE358" s="34">
        <f>AB358/AA358</f>
        <v>1.1166347992351817</v>
      </c>
      <c r="AF358" s="35">
        <f>AB358/R358</f>
        <v>1.2668112798264641</v>
      </c>
      <c r="AG358" s="29">
        <f>0.6*Z358+0.4*AA358</f>
        <v>481</v>
      </c>
      <c r="AH358" s="54">
        <v>1741</v>
      </c>
      <c r="AI358" s="59">
        <f>AH358/AG358</f>
        <v>3.6195426195426195</v>
      </c>
      <c r="AJ358" s="61">
        <f>AI358/AI$488</f>
        <v>0.7691684659281488</v>
      </c>
    </row>
    <row r="359" spans="1:36" ht="15" customHeight="1" x14ac:dyDescent="0.2">
      <c r="A359" s="28" t="s">
        <v>89</v>
      </c>
      <c r="B359" s="28"/>
      <c r="C359" s="27" t="s">
        <v>120</v>
      </c>
      <c r="D359" s="27">
        <v>9</v>
      </c>
      <c r="E359" s="27"/>
      <c r="F359" s="27"/>
      <c r="G359" s="27" t="s">
        <v>172</v>
      </c>
      <c r="H359" s="27">
        <v>1</v>
      </c>
      <c r="I359" s="27" t="s">
        <v>618</v>
      </c>
      <c r="J359" s="27">
        <v>6</v>
      </c>
      <c r="K359" s="27">
        <v>6</v>
      </c>
      <c r="L359" s="27">
        <v>55</v>
      </c>
      <c r="M359" s="29">
        <v>78</v>
      </c>
      <c r="N359" s="30">
        <v>79</v>
      </c>
      <c r="O359" s="30">
        <v>408</v>
      </c>
      <c r="P359" s="30">
        <v>9</v>
      </c>
      <c r="Q359" s="30">
        <v>2</v>
      </c>
      <c r="R359" s="30">
        <v>419</v>
      </c>
      <c r="S359" s="31">
        <f>R359/N359</f>
        <v>5.3037974683544302</v>
      </c>
      <c r="T359" s="32">
        <f>O359/R359</f>
        <v>0.97374701670644392</v>
      </c>
      <c r="U359" s="32">
        <f>P359/R359</f>
        <v>2.1479713603818614E-2</v>
      </c>
      <c r="V359" s="32">
        <f>Q359/R359</f>
        <v>4.7732696897374704E-3</v>
      </c>
      <c r="W359" s="31">
        <f>P359/O359</f>
        <v>2.2058823529411766E-2</v>
      </c>
      <c r="X359" s="31">
        <f>Q359/(O359+P359)</f>
        <v>4.7961630695443642E-3</v>
      </c>
      <c r="Y359" s="65">
        <f>R359/R$488</f>
        <v>1.2171776004462017E-3</v>
      </c>
      <c r="Z359" s="30">
        <v>363</v>
      </c>
      <c r="AA359" s="30">
        <v>443</v>
      </c>
      <c r="AB359" s="29">
        <v>530</v>
      </c>
      <c r="AC359" s="34">
        <f>Z359/R359</f>
        <v>0.86634844868735084</v>
      </c>
      <c r="AD359" s="34">
        <f>AA359/Z359</f>
        <v>1.2203856749311295</v>
      </c>
      <c r="AE359" s="34">
        <f>AB359/AA359</f>
        <v>1.1963882618510158</v>
      </c>
      <c r="AF359" s="35">
        <f>AB359/R359</f>
        <v>1.2649164677804297</v>
      </c>
      <c r="AG359" s="29">
        <f>0.6*Z359+0.4*AA359</f>
        <v>395</v>
      </c>
      <c r="AH359" s="54">
        <v>3799</v>
      </c>
      <c r="AI359" s="59">
        <f>AH359/AG359</f>
        <v>9.6177215189873415</v>
      </c>
      <c r="AJ359" s="61">
        <f>AI359/AI$488</f>
        <v>2.0438074320612465</v>
      </c>
    </row>
    <row r="360" spans="1:36" ht="15" customHeight="1" x14ac:dyDescent="0.2">
      <c r="A360" s="28" t="s">
        <v>310</v>
      </c>
      <c r="B360" s="28"/>
      <c r="C360" s="28" t="s">
        <v>119</v>
      </c>
      <c r="D360" s="28">
        <v>31</v>
      </c>
      <c r="E360" s="27"/>
      <c r="F360" s="27"/>
      <c r="G360" s="27" t="s">
        <v>332</v>
      </c>
      <c r="H360" s="27">
        <v>18</v>
      </c>
      <c r="I360" s="27" t="s">
        <v>620</v>
      </c>
      <c r="J360" s="27">
        <v>10</v>
      </c>
      <c r="K360" s="27">
        <v>3</v>
      </c>
      <c r="L360" s="27">
        <v>41</v>
      </c>
      <c r="M360" s="29">
        <v>28</v>
      </c>
      <c r="N360" s="30">
        <v>30</v>
      </c>
      <c r="O360" s="30">
        <v>63</v>
      </c>
      <c r="P360" s="30">
        <v>5</v>
      </c>
      <c r="Q360" s="30">
        <v>88</v>
      </c>
      <c r="R360" s="30">
        <v>156</v>
      </c>
      <c r="S360" s="31">
        <f>R360/N360</f>
        <v>5.2</v>
      </c>
      <c r="T360" s="32">
        <f>O360/R360</f>
        <v>0.40384615384615385</v>
      </c>
      <c r="U360" s="32">
        <f>P360/R360</f>
        <v>3.2051282051282048E-2</v>
      </c>
      <c r="V360" s="32">
        <f>Q360/R360</f>
        <v>0.5641025641025641</v>
      </c>
      <c r="W360" s="31">
        <f>P360/O360</f>
        <v>7.9365079365079361E-2</v>
      </c>
      <c r="X360" s="31">
        <f>Q360/(O360+P360)</f>
        <v>1.2941176470588236</v>
      </c>
      <c r="Y360" s="65">
        <f>R360/R$488</f>
        <v>4.5317352188450465E-4</v>
      </c>
      <c r="Z360" s="30">
        <v>168</v>
      </c>
      <c r="AA360" s="30">
        <v>214</v>
      </c>
      <c r="AB360" s="29">
        <v>217</v>
      </c>
      <c r="AC360" s="34">
        <f>Z360/R360</f>
        <v>1.0769230769230769</v>
      </c>
      <c r="AD360" s="34">
        <f>AA360/Z360</f>
        <v>1.2738095238095237</v>
      </c>
      <c r="AE360" s="34">
        <f>AB360/AA360</f>
        <v>1.014018691588785</v>
      </c>
      <c r="AF360" s="35">
        <f>AB360/R360</f>
        <v>1.391025641025641</v>
      </c>
      <c r="AG360" s="29">
        <f>0.6*Z360+0.4*AA360</f>
        <v>186.4</v>
      </c>
      <c r="AH360" s="54">
        <v>1410</v>
      </c>
      <c r="AI360" s="59">
        <f>AH360/AG360</f>
        <v>7.5643776824034337</v>
      </c>
      <c r="AJ360" s="61">
        <f>AI360/AI$488</f>
        <v>1.6074629833784351</v>
      </c>
    </row>
    <row r="361" spans="1:36" ht="15" customHeight="1" x14ac:dyDescent="0.2">
      <c r="A361" s="28" t="s">
        <v>305</v>
      </c>
      <c r="B361" s="28"/>
      <c r="C361" s="28" t="s">
        <v>119</v>
      </c>
      <c r="D361" s="28">
        <v>31</v>
      </c>
      <c r="E361" s="27"/>
      <c r="F361" s="27"/>
      <c r="G361" s="27" t="s">
        <v>332</v>
      </c>
      <c r="H361" s="27">
        <v>18</v>
      </c>
      <c r="I361" s="27" t="s">
        <v>620</v>
      </c>
      <c r="J361" s="27">
        <v>10</v>
      </c>
      <c r="K361" s="27">
        <v>3</v>
      </c>
      <c r="L361" s="27">
        <v>40</v>
      </c>
      <c r="M361" s="29">
        <v>59</v>
      </c>
      <c r="N361" s="30">
        <v>70</v>
      </c>
      <c r="O361" s="30">
        <v>119</v>
      </c>
      <c r="P361" s="30">
        <v>27</v>
      </c>
      <c r="Q361" s="30">
        <v>251</v>
      </c>
      <c r="R361" s="30">
        <v>397</v>
      </c>
      <c r="S361" s="31">
        <f>R361/N361</f>
        <v>5.6714285714285717</v>
      </c>
      <c r="T361" s="32">
        <f>O361/R361</f>
        <v>0.29974811083123426</v>
      </c>
      <c r="U361" s="32">
        <f>P361/R361</f>
        <v>6.8010075566750636E-2</v>
      </c>
      <c r="V361" s="32">
        <f>Q361/R361</f>
        <v>0.63224181360201515</v>
      </c>
      <c r="W361" s="31">
        <f>P361/O361</f>
        <v>0.22689075630252101</v>
      </c>
      <c r="X361" s="31">
        <f>Q361/(O361+P361)</f>
        <v>1.7191780821917808</v>
      </c>
      <c r="Y361" s="65">
        <f>R361/R$488</f>
        <v>1.153268514026592E-3</v>
      </c>
      <c r="Z361" s="30">
        <v>388</v>
      </c>
      <c r="AA361" s="30">
        <v>436</v>
      </c>
      <c r="AB361" s="29">
        <v>487</v>
      </c>
      <c r="AC361" s="34">
        <f>Z361/R361</f>
        <v>0.97732997481108308</v>
      </c>
      <c r="AD361" s="34">
        <f>AA361/Z361</f>
        <v>1.1237113402061856</v>
      </c>
      <c r="AE361" s="34">
        <f>AB361/AA361</f>
        <v>1.1169724770642202</v>
      </c>
      <c r="AF361" s="35">
        <f>AB361/R361</f>
        <v>1.2267002518891688</v>
      </c>
      <c r="AG361" s="29">
        <f>0.6*Z361+0.4*AA361</f>
        <v>407.2</v>
      </c>
      <c r="AH361" s="54">
        <v>2207</v>
      </c>
      <c r="AI361" s="59">
        <f>AH361/AG361</f>
        <v>5.4199410609037333</v>
      </c>
      <c r="AJ361" s="61">
        <f>AI361/AI$488</f>
        <v>1.1517609238050914</v>
      </c>
    </row>
    <row r="362" spans="1:36" ht="15" customHeight="1" x14ac:dyDescent="0.2">
      <c r="A362" s="27" t="s">
        <v>180</v>
      </c>
      <c r="B362" s="27">
        <v>3</v>
      </c>
      <c r="C362" s="28" t="s">
        <v>120</v>
      </c>
      <c r="D362" s="28">
        <v>9</v>
      </c>
      <c r="E362" s="27"/>
      <c r="F362" s="27"/>
      <c r="G362" s="27" t="s">
        <v>172</v>
      </c>
      <c r="H362" s="27">
        <v>1</v>
      </c>
      <c r="I362" s="27" t="s">
        <v>618</v>
      </c>
      <c r="J362" s="27">
        <v>6</v>
      </c>
      <c r="K362" s="27">
        <v>7</v>
      </c>
      <c r="L362" s="27">
        <v>26</v>
      </c>
      <c r="M362" s="29">
        <v>56</v>
      </c>
      <c r="N362" s="30">
        <v>56</v>
      </c>
      <c r="O362" s="30">
        <v>225</v>
      </c>
      <c r="P362" s="30">
        <v>19</v>
      </c>
      <c r="Q362" s="30">
        <v>56</v>
      </c>
      <c r="R362" s="30">
        <v>300</v>
      </c>
      <c r="S362" s="31">
        <f>R362/N362</f>
        <v>5.3571428571428568</v>
      </c>
      <c r="T362" s="32">
        <f>O362/R362</f>
        <v>0.75</v>
      </c>
      <c r="U362" s="32">
        <f>P362/R362</f>
        <v>6.3333333333333339E-2</v>
      </c>
      <c r="V362" s="32">
        <f>Q362/R362</f>
        <v>0.18666666666666668</v>
      </c>
      <c r="W362" s="31">
        <f>P362/O362</f>
        <v>8.4444444444444447E-2</v>
      </c>
      <c r="X362" s="31">
        <f>Q362/(O362+P362)</f>
        <v>0.22950819672131148</v>
      </c>
      <c r="Y362" s="65">
        <f>R362/R$488</f>
        <v>8.7148754208558584E-4</v>
      </c>
      <c r="Z362" s="30">
        <v>340</v>
      </c>
      <c r="AA362" s="30">
        <v>436</v>
      </c>
      <c r="AB362" s="29">
        <v>448</v>
      </c>
      <c r="AC362" s="34">
        <f>Z362/R362</f>
        <v>1.1333333333333333</v>
      </c>
      <c r="AD362" s="34">
        <f>AA362/Z362</f>
        <v>1.2823529411764707</v>
      </c>
      <c r="AE362" s="34">
        <f>AB362/AA362</f>
        <v>1.0275229357798166</v>
      </c>
      <c r="AF362" s="35">
        <f>AB362/R362</f>
        <v>1.4933333333333334</v>
      </c>
      <c r="AG362" s="29">
        <f>0.6*Z362+0.4*AA362</f>
        <v>378.4</v>
      </c>
      <c r="AH362" s="54">
        <v>3451</v>
      </c>
      <c r="AI362" s="59">
        <f>AH362/AG362</f>
        <v>9.1199788583509527</v>
      </c>
      <c r="AJ362" s="61">
        <f>AI362/AI$488</f>
        <v>1.9380349632853258</v>
      </c>
    </row>
    <row r="363" spans="1:36" ht="15" customHeight="1" x14ac:dyDescent="0.2">
      <c r="A363" s="27" t="s">
        <v>625</v>
      </c>
      <c r="B363" s="27"/>
      <c r="C363" s="27" t="s">
        <v>117</v>
      </c>
      <c r="D363" s="27">
        <v>3</v>
      </c>
      <c r="E363" s="27"/>
      <c r="F363" s="27"/>
      <c r="G363" s="27" t="s">
        <v>4</v>
      </c>
      <c r="H363" s="27">
        <v>14</v>
      </c>
      <c r="I363" s="27" t="s">
        <v>622</v>
      </c>
      <c r="J363" s="27">
        <v>8</v>
      </c>
      <c r="K363" s="27">
        <v>6</v>
      </c>
      <c r="L363" s="27">
        <v>66</v>
      </c>
      <c r="M363" s="29">
        <v>171</v>
      </c>
      <c r="N363" s="30">
        <v>173</v>
      </c>
      <c r="O363" s="30">
        <v>581</v>
      </c>
      <c r="P363" s="30">
        <v>378</v>
      </c>
      <c r="Q363" s="30">
        <v>1</v>
      </c>
      <c r="R363" s="30">
        <v>960</v>
      </c>
      <c r="S363" s="31">
        <f>R363/N363</f>
        <v>5.5491329479768785</v>
      </c>
      <c r="T363" s="32">
        <f>O363/R363</f>
        <v>0.60520833333333335</v>
      </c>
      <c r="U363" s="32">
        <f>P363/R363</f>
        <v>0.39374999999999999</v>
      </c>
      <c r="V363" s="32">
        <f>Q363/R363</f>
        <v>1.0416666666666667E-3</v>
      </c>
      <c r="W363" s="31">
        <f>P363/O363</f>
        <v>0.6506024096385542</v>
      </c>
      <c r="X363" s="31">
        <f>Q363/(O363+P363)</f>
        <v>1.0427528675703858E-3</v>
      </c>
      <c r="Y363" s="65">
        <f>R363/R$488</f>
        <v>2.7887601346738749E-3</v>
      </c>
      <c r="Z363" s="30">
        <v>971</v>
      </c>
      <c r="AA363" s="30">
        <v>1017</v>
      </c>
      <c r="AB363" s="29">
        <v>1217</v>
      </c>
      <c r="AC363" s="34">
        <f>Z363/R363</f>
        <v>1.0114583333333333</v>
      </c>
      <c r="AD363" s="34">
        <f>AA363/Z363</f>
        <v>1.047373841400618</v>
      </c>
      <c r="AE363" s="34">
        <f>AB363/AA363</f>
        <v>1.1966568338249755</v>
      </c>
      <c r="AF363" s="35">
        <f>AB363/R363</f>
        <v>1.2677083333333334</v>
      </c>
      <c r="AG363" s="29">
        <f>0.6*Z363+0.4*AA363</f>
        <v>989.40000000000009</v>
      </c>
      <c r="AH363" s="54">
        <v>5147</v>
      </c>
      <c r="AI363" s="59">
        <f>AH363/AG363</f>
        <v>5.2021427127552045</v>
      </c>
      <c r="AJ363" s="61">
        <f>AI363/AI$488</f>
        <v>1.1054778325596406</v>
      </c>
    </row>
    <row r="364" spans="1:36" ht="15" customHeight="1" x14ac:dyDescent="0.2">
      <c r="A364" s="27" t="s">
        <v>384</v>
      </c>
      <c r="B364" s="27"/>
      <c r="C364" s="27" t="s">
        <v>328</v>
      </c>
      <c r="D364" s="27">
        <v>13</v>
      </c>
      <c r="E364" s="27"/>
      <c r="F364" s="27"/>
      <c r="G364" s="27" t="s">
        <v>333</v>
      </c>
      <c r="H364" s="27">
        <v>22</v>
      </c>
      <c r="I364" s="27" t="s">
        <v>621</v>
      </c>
      <c r="J364" s="27">
        <v>7</v>
      </c>
      <c r="K364" s="27">
        <v>2</v>
      </c>
      <c r="L364" s="27">
        <v>75</v>
      </c>
      <c r="M364" s="29">
        <v>143</v>
      </c>
      <c r="N364" s="30">
        <v>143</v>
      </c>
      <c r="O364" s="30">
        <v>293</v>
      </c>
      <c r="P364" s="30">
        <v>67</v>
      </c>
      <c r="Q364" s="30">
        <v>403</v>
      </c>
      <c r="R364" s="30">
        <v>763</v>
      </c>
      <c r="S364" s="31">
        <f>R364/N364</f>
        <v>5.3356643356643358</v>
      </c>
      <c r="T364" s="32">
        <f>O364/R364</f>
        <v>0.38401048492791612</v>
      </c>
      <c r="U364" s="32">
        <f>P364/R364</f>
        <v>8.7811271297509833E-2</v>
      </c>
      <c r="V364" s="32">
        <f>Q364/R364</f>
        <v>0.52817824377457401</v>
      </c>
      <c r="W364" s="31">
        <f>P364/O364</f>
        <v>0.22866894197952217</v>
      </c>
      <c r="X364" s="31">
        <f>Q364/(O364+P364)</f>
        <v>1.1194444444444445</v>
      </c>
      <c r="Y364" s="65">
        <f>R364/R$488</f>
        <v>2.2164833153710066E-3</v>
      </c>
      <c r="Z364" s="30">
        <v>894</v>
      </c>
      <c r="AA364" s="30">
        <v>739</v>
      </c>
      <c r="AB364" s="29">
        <v>787</v>
      </c>
      <c r="AC364" s="34">
        <f>Z364/R364</f>
        <v>1.1716906946264745</v>
      </c>
      <c r="AD364" s="34">
        <f>AA364/Z364</f>
        <v>0.82662192393736023</v>
      </c>
      <c r="AE364" s="34">
        <f>AB364/AA364</f>
        <v>1.0649526387009471</v>
      </c>
      <c r="AF364" s="35">
        <f>AB364/R364</f>
        <v>1.0314547837483616</v>
      </c>
      <c r="AG364" s="29">
        <f>0.6*Z364+0.4*AA364</f>
        <v>832</v>
      </c>
      <c r="AH364" s="54">
        <v>3001</v>
      </c>
      <c r="AI364" s="59">
        <f>AH364/AG364</f>
        <v>3.6069711538461537</v>
      </c>
      <c r="AJ364" s="61">
        <f>AI364/AI$488</f>
        <v>0.76649697507955072</v>
      </c>
    </row>
    <row r="365" spans="1:36" ht="15" customHeight="1" x14ac:dyDescent="0.2">
      <c r="A365" s="28" t="s">
        <v>251</v>
      </c>
      <c r="B365" s="28"/>
      <c r="C365" s="28" t="s">
        <v>115</v>
      </c>
      <c r="D365" s="28">
        <v>22</v>
      </c>
      <c r="E365" s="27"/>
      <c r="F365" s="27"/>
      <c r="G365" s="27" t="s">
        <v>428</v>
      </c>
      <c r="H365" s="27">
        <v>19</v>
      </c>
      <c r="I365" s="27" t="s">
        <v>622</v>
      </c>
      <c r="J365" s="27">
        <v>8</v>
      </c>
      <c r="K365" s="27">
        <v>4</v>
      </c>
      <c r="L365" s="27">
        <v>80</v>
      </c>
      <c r="M365" s="29">
        <v>32</v>
      </c>
      <c r="N365" s="30">
        <v>35</v>
      </c>
      <c r="O365" s="30">
        <v>154</v>
      </c>
      <c r="P365" s="30">
        <v>21</v>
      </c>
      <c r="Q365" s="30">
        <v>30</v>
      </c>
      <c r="R365" s="30">
        <v>205</v>
      </c>
      <c r="S365" s="31">
        <f>R365/N365</f>
        <v>5.8571428571428568</v>
      </c>
      <c r="T365" s="32">
        <f>O365/R365</f>
        <v>0.75121951219512195</v>
      </c>
      <c r="U365" s="32">
        <f>P365/R365</f>
        <v>0.1024390243902439</v>
      </c>
      <c r="V365" s="32">
        <f>Q365/R365</f>
        <v>0.14634146341463414</v>
      </c>
      <c r="W365" s="31">
        <f>P365/O365</f>
        <v>0.13636363636363635</v>
      </c>
      <c r="X365" s="31">
        <f>Q365/(O365+P365)</f>
        <v>0.17142857142857143</v>
      </c>
      <c r="Y365" s="65">
        <f>R365/R$488</f>
        <v>5.95516487091817E-4</v>
      </c>
      <c r="Z365" s="30">
        <v>319</v>
      </c>
      <c r="AA365" s="30">
        <v>333</v>
      </c>
      <c r="AB365" s="29">
        <v>366</v>
      </c>
      <c r="AC365" s="34">
        <f>Z365/R365</f>
        <v>1.5560975609756098</v>
      </c>
      <c r="AD365" s="34">
        <f>AA365/Z365</f>
        <v>1.0438871473354232</v>
      </c>
      <c r="AE365" s="34">
        <f>AB365/AA365</f>
        <v>1.0990990990990992</v>
      </c>
      <c r="AF365" s="35">
        <f>AB365/R365</f>
        <v>1.7853658536585366</v>
      </c>
      <c r="AG365" s="29">
        <f>0.6*Z365+0.4*AA365</f>
        <v>324.60000000000002</v>
      </c>
      <c r="AH365" s="54">
        <v>1709</v>
      </c>
      <c r="AI365" s="59">
        <f>AH365/AG365</f>
        <v>5.2649414664202094</v>
      </c>
      <c r="AJ365" s="61">
        <f>AI365/AI$488</f>
        <v>1.1188228394005368</v>
      </c>
    </row>
    <row r="366" spans="1:36" ht="15" customHeight="1" x14ac:dyDescent="0.2">
      <c r="A366" s="28" t="s">
        <v>171</v>
      </c>
      <c r="B366" s="28"/>
      <c r="C366" s="28" t="s">
        <v>17</v>
      </c>
      <c r="D366" s="28">
        <v>8</v>
      </c>
      <c r="E366" s="27"/>
      <c r="F366" s="27" t="s">
        <v>480</v>
      </c>
      <c r="G366" s="27" t="s">
        <v>201</v>
      </c>
      <c r="H366" s="27">
        <v>3</v>
      </c>
      <c r="I366" s="27" t="s">
        <v>621</v>
      </c>
      <c r="J366" s="27">
        <v>7</v>
      </c>
      <c r="K366" s="27">
        <v>6</v>
      </c>
      <c r="L366" s="27">
        <v>58</v>
      </c>
      <c r="M366" s="29">
        <v>320</v>
      </c>
      <c r="N366" s="30">
        <v>339</v>
      </c>
      <c r="O366" s="30">
        <v>595</v>
      </c>
      <c r="P366" s="30">
        <v>809</v>
      </c>
      <c r="Q366" s="30">
        <v>338</v>
      </c>
      <c r="R366" s="30">
        <v>1742</v>
      </c>
      <c r="S366" s="31">
        <f>R366/N366</f>
        <v>5.1386430678466075</v>
      </c>
      <c r="T366" s="32">
        <f>O366/R366</f>
        <v>0.34156142365097591</v>
      </c>
      <c r="U366" s="32">
        <f>P366/R366</f>
        <v>0.46440872560275548</v>
      </c>
      <c r="V366" s="32">
        <f>Q366/R366</f>
        <v>0.19402985074626866</v>
      </c>
      <c r="W366" s="31">
        <f>P366/O366</f>
        <v>1.3596638655462185</v>
      </c>
      <c r="X366" s="31">
        <f>Q366/(O366+P366)</f>
        <v>0.24074074074074073</v>
      </c>
      <c r="Y366" s="65">
        <f>R366/R$488</f>
        <v>5.0604376610436357E-3</v>
      </c>
      <c r="Z366" s="30">
        <v>1720</v>
      </c>
      <c r="AA366" s="30">
        <v>1906</v>
      </c>
      <c r="AB366" s="29">
        <v>2011</v>
      </c>
      <c r="AC366" s="34">
        <f>Z366/R366</f>
        <v>0.9873708381171068</v>
      </c>
      <c r="AD366" s="34">
        <f>AA366/Z366</f>
        <v>1.1081395348837209</v>
      </c>
      <c r="AE366" s="34">
        <f>AB366/AA366</f>
        <v>1.0550891920251837</v>
      </c>
      <c r="AF366" s="35">
        <f>AB366/R366</f>
        <v>1.1544202066590126</v>
      </c>
      <c r="AG366" s="29">
        <f>0.6*Z366+0.4*AA366</f>
        <v>1794.4</v>
      </c>
      <c r="AH366" s="54">
        <v>10927</v>
      </c>
      <c r="AI366" s="59">
        <f>AH366/AG366</f>
        <v>6.0895006687472133</v>
      </c>
      <c r="AJ366" s="61">
        <f>AI366/AI$488</f>
        <v>1.2940452371964615</v>
      </c>
    </row>
    <row r="367" spans="1:36" ht="15" customHeight="1" x14ac:dyDescent="0.2">
      <c r="A367" s="27" t="s">
        <v>414</v>
      </c>
      <c r="B367" s="27"/>
      <c r="C367" s="27" t="s">
        <v>332</v>
      </c>
      <c r="D367" s="27">
        <v>25</v>
      </c>
      <c r="E367" s="27"/>
      <c r="F367" s="27"/>
      <c r="G367" s="27" t="s">
        <v>332</v>
      </c>
      <c r="H367" s="27">
        <v>18</v>
      </c>
      <c r="I367" s="27" t="s">
        <v>620</v>
      </c>
      <c r="J367" s="27">
        <v>10</v>
      </c>
      <c r="K367" s="27">
        <v>1</v>
      </c>
      <c r="L367" s="27">
        <v>50</v>
      </c>
      <c r="M367" s="29">
        <v>12</v>
      </c>
      <c r="N367" s="30">
        <v>16</v>
      </c>
      <c r="O367" s="30">
        <v>41</v>
      </c>
      <c r="P367" s="30">
        <v>20</v>
      </c>
      <c r="Q367" s="30">
        <v>3</v>
      </c>
      <c r="R367" s="30">
        <v>64</v>
      </c>
      <c r="S367" s="31">
        <f>R367/N367</f>
        <v>4</v>
      </c>
      <c r="T367" s="32">
        <f>O367/R367</f>
        <v>0.640625</v>
      </c>
      <c r="U367" s="32">
        <f>P367/R367</f>
        <v>0.3125</v>
      </c>
      <c r="V367" s="32">
        <f>Q367/R367</f>
        <v>4.6875E-2</v>
      </c>
      <c r="W367" s="31">
        <f>P367/O367</f>
        <v>0.48780487804878048</v>
      </c>
      <c r="X367" s="31">
        <f>Q367/(O367+P367)</f>
        <v>4.9180327868852458E-2</v>
      </c>
      <c r="Y367" s="65">
        <f>R367/R$488</f>
        <v>1.8591734231159166E-4</v>
      </c>
      <c r="Z367" s="30">
        <v>84</v>
      </c>
      <c r="AA367" s="30">
        <v>55</v>
      </c>
      <c r="AB367" s="29">
        <v>58</v>
      </c>
      <c r="AC367" s="34">
        <f>Z367/R367</f>
        <v>1.3125</v>
      </c>
      <c r="AD367" s="34">
        <f>AA367/Z367</f>
        <v>0.65476190476190477</v>
      </c>
      <c r="AE367" s="34">
        <f>AB367/AA367</f>
        <v>1.0545454545454545</v>
      </c>
      <c r="AF367" s="35">
        <f>AB367/R367</f>
        <v>0.90625</v>
      </c>
      <c r="AG367" s="29">
        <f>0.6*Z367+0.4*AA367</f>
        <v>72.400000000000006</v>
      </c>
      <c r="AH367" s="54">
        <v>417</v>
      </c>
      <c r="AI367" s="59">
        <f>AH367/AG367</f>
        <v>5.7596685082872927</v>
      </c>
      <c r="AJ367" s="61">
        <f>AI367/AI$488</f>
        <v>1.2239544761414687</v>
      </c>
    </row>
    <row r="368" spans="1:36" ht="15" customHeight="1" x14ac:dyDescent="0.2">
      <c r="A368" s="28" t="s">
        <v>590</v>
      </c>
      <c r="B368" s="28">
        <v>2</v>
      </c>
      <c r="C368" s="28" t="s">
        <v>107</v>
      </c>
      <c r="D368" s="28">
        <v>7</v>
      </c>
      <c r="E368" s="27"/>
      <c r="F368" s="27" t="s">
        <v>481</v>
      </c>
      <c r="G368" s="27" t="s">
        <v>336</v>
      </c>
      <c r="H368" s="27">
        <v>10</v>
      </c>
      <c r="I368" s="27" t="s">
        <v>618</v>
      </c>
      <c r="J368" s="27">
        <v>6</v>
      </c>
      <c r="K368" s="27">
        <v>7</v>
      </c>
      <c r="L368" s="27">
        <v>28</v>
      </c>
      <c r="M368" s="29">
        <v>269</v>
      </c>
      <c r="N368" s="30">
        <v>323</v>
      </c>
      <c r="O368" s="30">
        <v>142</v>
      </c>
      <c r="P368" s="30">
        <v>52</v>
      </c>
      <c r="Q368" s="30">
        <v>1303</v>
      </c>
      <c r="R368" s="30">
        <v>1497</v>
      </c>
      <c r="S368" s="31">
        <f>R368/N368</f>
        <v>4.6346749226006194</v>
      </c>
      <c r="T368" s="32">
        <f>O368/R368</f>
        <v>9.4856379425517709E-2</v>
      </c>
      <c r="U368" s="32">
        <f>P368/R368</f>
        <v>3.4736138944555781E-2</v>
      </c>
      <c r="V368" s="32">
        <f>Q368/R368</f>
        <v>0.87040748162992654</v>
      </c>
      <c r="W368" s="31">
        <f>P368/O368</f>
        <v>0.36619718309859156</v>
      </c>
      <c r="X368" s="31">
        <f>Q368/(O368+P368)</f>
        <v>6.7164948453608249</v>
      </c>
      <c r="Y368" s="65">
        <f>R368/R$488</f>
        <v>4.3487228350070732E-3</v>
      </c>
      <c r="Z368" s="30">
        <v>1524</v>
      </c>
      <c r="AA368" s="30">
        <v>1745</v>
      </c>
      <c r="AB368" s="29">
        <v>1803</v>
      </c>
      <c r="AC368" s="34">
        <f>Z368/R368</f>
        <v>1.0180360721442885</v>
      </c>
      <c r="AD368" s="34">
        <f>AA368/Z368</f>
        <v>1.1450131233595799</v>
      </c>
      <c r="AE368" s="34">
        <f>AB368/AA368</f>
        <v>1.0332378223495702</v>
      </c>
      <c r="AF368" s="35">
        <f>AB368/R368</f>
        <v>1.2044088176352705</v>
      </c>
      <c r="AG368" s="29">
        <f>0.6*Z368+0.4*AA368</f>
        <v>1612.4</v>
      </c>
      <c r="AH368" s="54">
        <v>5684</v>
      </c>
      <c r="AI368" s="59">
        <f>AH368/AG368</f>
        <v>3.5251798561151078</v>
      </c>
      <c r="AJ368" s="61">
        <f>AI368/AI$488</f>
        <v>0.74911597045692502</v>
      </c>
    </row>
    <row r="369" spans="1:36" ht="15" customHeight="1" x14ac:dyDescent="0.2">
      <c r="A369" s="28" t="s">
        <v>441</v>
      </c>
      <c r="B369" s="28"/>
      <c r="C369" s="28" t="s">
        <v>116</v>
      </c>
      <c r="D369" s="27">
        <v>32</v>
      </c>
      <c r="E369" s="27"/>
      <c r="F369" s="27"/>
      <c r="G369" s="27" t="s">
        <v>106</v>
      </c>
      <c r="H369" s="27">
        <v>12</v>
      </c>
      <c r="I369" s="27" t="s">
        <v>111</v>
      </c>
      <c r="J369" s="27">
        <v>5</v>
      </c>
      <c r="K369" s="27">
        <v>6</v>
      </c>
      <c r="L369" s="27">
        <v>59</v>
      </c>
      <c r="M369" s="29">
        <v>128</v>
      </c>
      <c r="N369" s="30">
        <v>129</v>
      </c>
      <c r="O369" s="30">
        <v>18</v>
      </c>
      <c r="P369" s="30">
        <v>44</v>
      </c>
      <c r="Q369" s="30">
        <v>523</v>
      </c>
      <c r="R369" s="30">
        <v>585</v>
      </c>
      <c r="S369" s="31">
        <f>R369/N369</f>
        <v>4.5348837209302326</v>
      </c>
      <c r="T369" s="32">
        <f>O369/R369</f>
        <v>3.0769230769230771E-2</v>
      </c>
      <c r="U369" s="32">
        <f>P369/R369</f>
        <v>7.521367521367521E-2</v>
      </c>
      <c r="V369" s="32">
        <f>Q369/R369</f>
        <v>0.89401709401709406</v>
      </c>
      <c r="W369" s="31">
        <f>P369/O369</f>
        <v>2.4444444444444446</v>
      </c>
      <c r="X369" s="31">
        <f>Q369/(O369+P369)</f>
        <v>8.435483870967742</v>
      </c>
      <c r="Y369" s="65">
        <f>R369/R$488</f>
        <v>1.6994007070668924E-3</v>
      </c>
      <c r="Z369" s="30">
        <v>772</v>
      </c>
      <c r="AA369" s="30">
        <v>969</v>
      </c>
      <c r="AB369" s="29">
        <v>1178</v>
      </c>
      <c r="AC369" s="34">
        <f>Z369/R369</f>
        <v>1.3196581196581196</v>
      </c>
      <c r="AD369" s="34">
        <f>AA369/Z369</f>
        <v>1.2551813471502591</v>
      </c>
      <c r="AE369" s="34">
        <f>AB369/AA369</f>
        <v>1.2156862745098038</v>
      </c>
      <c r="AF369" s="35">
        <f>AB369/R369</f>
        <v>2.0136752136752136</v>
      </c>
      <c r="AG369" s="29">
        <f>0.6*Z369+0.4*AA369</f>
        <v>850.8</v>
      </c>
      <c r="AH369" s="54">
        <v>1222</v>
      </c>
      <c r="AI369" s="59">
        <f>AH369/AG369</f>
        <v>1.4362952515279737</v>
      </c>
      <c r="AJ369" s="61">
        <f>AI369/AI$488</f>
        <v>0.30521895481293082</v>
      </c>
    </row>
    <row r="370" spans="1:36" ht="15" customHeight="1" x14ac:dyDescent="0.2">
      <c r="A370" s="27" t="s">
        <v>392</v>
      </c>
      <c r="B370" s="27"/>
      <c r="C370" s="27" t="s">
        <v>330</v>
      </c>
      <c r="D370" s="27">
        <v>21</v>
      </c>
      <c r="E370" s="27"/>
      <c r="F370" s="27"/>
      <c r="G370" s="27" t="s">
        <v>330</v>
      </c>
      <c r="H370" s="27">
        <v>15</v>
      </c>
      <c r="I370" s="27" t="s">
        <v>624</v>
      </c>
      <c r="J370" s="27">
        <v>4</v>
      </c>
      <c r="K370" s="27">
        <v>4</v>
      </c>
      <c r="L370" s="27">
        <v>85</v>
      </c>
      <c r="M370" s="29">
        <v>72</v>
      </c>
      <c r="N370" s="30">
        <v>97</v>
      </c>
      <c r="O370" s="30">
        <v>196</v>
      </c>
      <c r="P370" s="30">
        <v>33</v>
      </c>
      <c r="Q370" s="30">
        <v>251</v>
      </c>
      <c r="R370" s="30">
        <v>480</v>
      </c>
      <c r="S370" s="31">
        <f>R370/N370</f>
        <v>4.9484536082474229</v>
      </c>
      <c r="T370" s="32">
        <f>O370/R370</f>
        <v>0.40833333333333333</v>
      </c>
      <c r="U370" s="32">
        <f>P370/R370</f>
        <v>6.8750000000000006E-2</v>
      </c>
      <c r="V370" s="32">
        <f>Q370/R370</f>
        <v>0.5229166666666667</v>
      </c>
      <c r="W370" s="31">
        <f>P370/O370</f>
        <v>0.1683673469387755</v>
      </c>
      <c r="X370" s="31">
        <f>Q370/(O370+P370)</f>
        <v>1.0960698689956332</v>
      </c>
      <c r="Y370" s="65">
        <f>R370/R$488</f>
        <v>1.3943800673369374E-3</v>
      </c>
      <c r="Z370" s="30">
        <v>485</v>
      </c>
      <c r="AA370" s="30">
        <v>551</v>
      </c>
      <c r="AB370" s="29">
        <v>570</v>
      </c>
      <c r="AC370" s="34">
        <f>Z370/R370</f>
        <v>1.0104166666666667</v>
      </c>
      <c r="AD370" s="34">
        <f>AA370/Z370</f>
        <v>1.1360824742268041</v>
      </c>
      <c r="AE370" s="34">
        <f>AB370/AA370</f>
        <v>1.0344827586206897</v>
      </c>
      <c r="AF370" s="35">
        <f>AB370/R370</f>
        <v>1.1875</v>
      </c>
      <c r="AG370" s="29">
        <f>0.6*Z370+0.4*AA370</f>
        <v>511.4</v>
      </c>
      <c r="AH370" s="54">
        <v>2988</v>
      </c>
      <c r="AI370" s="59">
        <f>AH370/AG370</f>
        <v>5.8427845131012912</v>
      </c>
      <c r="AJ370" s="61">
        <f>AI370/AI$488</f>
        <v>1.2416169867503197</v>
      </c>
    </row>
    <row r="371" spans="1:36" ht="15" customHeight="1" x14ac:dyDescent="0.2">
      <c r="A371" s="28" t="s">
        <v>123</v>
      </c>
      <c r="B371" s="28"/>
      <c r="C371" s="28" t="s">
        <v>123</v>
      </c>
      <c r="D371" s="28">
        <v>23</v>
      </c>
      <c r="E371" s="27"/>
      <c r="F371" s="27"/>
      <c r="G371" s="27" t="s">
        <v>427</v>
      </c>
      <c r="H371" s="27">
        <v>23</v>
      </c>
      <c r="I371" s="27" t="s">
        <v>619</v>
      </c>
      <c r="J371" s="27">
        <v>9</v>
      </c>
      <c r="K371" s="27">
        <v>3</v>
      </c>
      <c r="L371" s="27">
        <v>42</v>
      </c>
      <c r="M371" s="29">
        <v>126</v>
      </c>
      <c r="N371" s="30">
        <v>129</v>
      </c>
      <c r="O371" s="30">
        <v>203</v>
      </c>
      <c r="P371" s="30">
        <v>29</v>
      </c>
      <c r="Q371" s="30">
        <v>512</v>
      </c>
      <c r="R371" s="30">
        <v>744</v>
      </c>
      <c r="S371" s="31">
        <f>R371/N371</f>
        <v>5.7674418604651159</v>
      </c>
      <c r="T371" s="32">
        <f>O371/R371</f>
        <v>0.27284946236559138</v>
      </c>
      <c r="U371" s="32">
        <f>P371/R371</f>
        <v>3.8978494623655914E-2</v>
      </c>
      <c r="V371" s="32">
        <f>Q371/R371</f>
        <v>0.68817204301075274</v>
      </c>
      <c r="W371" s="31">
        <f>P371/O371</f>
        <v>0.14285714285714285</v>
      </c>
      <c r="X371" s="31">
        <f>Q371/(O371+P371)</f>
        <v>2.2068965517241379</v>
      </c>
      <c r="Y371" s="65">
        <f>R371/R$488</f>
        <v>2.1612891043722529E-3</v>
      </c>
      <c r="Z371" s="30">
        <v>738</v>
      </c>
      <c r="AA371" s="30">
        <v>1006</v>
      </c>
      <c r="AB371" s="29">
        <v>1179</v>
      </c>
      <c r="AC371" s="34">
        <f>Z371/R371</f>
        <v>0.99193548387096775</v>
      </c>
      <c r="AD371" s="34">
        <f>AA371/Z371</f>
        <v>1.3631436314363143</v>
      </c>
      <c r="AE371" s="34">
        <f>AB371/AA371</f>
        <v>1.1719681908548707</v>
      </c>
      <c r="AF371" s="35">
        <f>AB371/R371</f>
        <v>1.5846774193548387</v>
      </c>
      <c r="AG371" s="29">
        <f>0.6*Z371+0.4*AA371</f>
        <v>845.2</v>
      </c>
      <c r="AH371" s="54">
        <v>3415</v>
      </c>
      <c r="AI371" s="59">
        <f>AH371/AG371</f>
        <v>4.0404637955513483</v>
      </c>
      <c r="AJ371" s="61">
        <f>AI371/AI$488</f>
        <v>0.85861603686688193</v>
      </c>
    </row>
    <row r="372" spans="1:36" ht="15" customHeight="1" x14ac:dyDescent="0.2">
      <c r="A372" s="28" t="s">
        <v>252</v>
      </c>
      <c r="B372" s="28"/>
      <c r="C372" s="28" t="s">
        <v>115</v>
      </c>
      <c r="D372" s="28">
        <v>22</v>
      </c>
      <c r="E372" s="27"/>
      <c r="F372" s="27"/>
      <c r="G372" s="27" t="s">
        <v>428</v>
      </c>
      <c r="H372" s="27">
        <v>19</v>
      </c>
      <c r="I372" s="27" t="s">
        <v>622</v>
      </c>
      <c r="J372" s="27">
        <v>8</v>
      </c>
      <c r="K372" s="27">
        <v>4</v>
      </c>
      <c r="L372" s="27">
        <v>84</v>
      </c>
      <c r="M372" s="29">
        <v>18</v>
      </c>
      <c r="N372" s="30">
        <v>18</v>
      </c>
      <c r="O372" s="40">
        <v>47</v>
      </c>
      <c r="P372" s="30">
        <v>12</v>
      </c>
      <c r="Q372" s="30">
        <v>0</v>
      </c>
      <c r="R372" s="30">
        <v>59</v>
      </c>
      <c r="S372" s="31">
        <f>R372/N372</f>
        <v>3.2777777777777777</v>
      </c>
      <c r="T372" s="32">
        <f>O372/R372</f>
        <v>0.79661016949152541</v>
      </c>
      <c r="U372" s="32">
        <f>P372/R372</f>
        <v>0.20338983050847459</v>
      </c>
      <c r="V372" s="32">
        <f>Q372/R372</f>
        <v>0</v>
      </c>
      <c r="W372" s="31">
        <f>P372/O372</f>
        <v>0.25531914893617019</v>
      </c>
      <c r="X372" s="31">
        <f>Q372/(O372+P372)</f>
        <v>0</v>
      </c>
      <c r="Y372" s="65">
        <f>R372/R$488</f>
        <v>1.7139254994349857E-4</v>
      </c>
      <c r="Z372" s="30">
        <v>84</v>
      </c>
      <c r="AA372" s="30">
        <v>129</v>
      </c>
      <c r="AB372" s="29">
        <v>154</v>
      </c>
      <c r="AC372" s="34">
        <f>Z372/R372</f>
        <v>1.423728813559322</v>
      </c>
      <c r="AD372" s="34">
        <f>AA372/Z372</f>
        <v>1.5357142857142858</v>
      </c>
      <c r="AE372" s="34">
        <f>AB372/AA372</f>
        <v>1.193798449612403</v>
      </c>
      <c r="AF372" s="35">
        <f>AB372/R372</f>
        <v>2.6101694915254239</v>
      </c>
      <c r="AG372" s="29">
        <f>0.6*Z372+0.4*AA372</f>
        <v>102</v>
      </c>
      <c r="AH372" s="54">
        <v>945</v>
      </c>
      <c r="AI372" s="59">
        <f>AH372/AG372</f>
        <v>9.264705882352942</v>
      </c>
      <c r="AJ372" s="61">
        <f>AI372/AI$488</f>
        <v>1.968790082020196</v>
      </c>
    </row>
    <row r="373" spans="1:36" ht="15" customHeight="1" x14ac:dyDescent="0.2">
      <c r="A373" s="28" t="s">
        <v>274</v>
      </c>
      <c r="B373" s="28"/>
      <c r="C373" s="28" t="s">
        <v>123</v>
      </c>
      <c r="D373" s="28">
        <v>23</v>
      </c>
      <c r="E373" s="27" t="s">
        <v>421</v>
      </c>
      <c r="F373" s="27"/>
      <c r="G373" s="27" t="s">
        <v>427</v>
      </c>
      <c r="H373" s="27">
        <v>23</v>
      </c>
      <c r="I373" s="27" t="s">
        <v>619</v>
      </c>
      <c r="J373" s="27">
        <v>9</v>
      </c>
      <c r="K373" s="27">
        <v>2</v>
      </c>
      <c r="L373" s="27">
        <v>74</v>
      </c>
      <c r="M373" s="29">
        <v>74</v>
      </c>
      <c r="N373" s="30">
        <v>74</v>
      </c>
      <c r="O373" s="30">
        <v>86</v>
      </c>
      <c r="P373" s="30">
        <v>4</v>
      </c>
      <c r="Q373" s="30">
        <v>258</v>
      </c>
      <c r="R373" s="30">
        <v>348</v>
      </c>
      <c r="S373" s="31">
        <f>R373/N373</f>
        <v>4.7027027027027026</v>
      </c>
      <c r="T373" s="32">
        <f>O373/R373</f>
        <v>0.2471264367816092</v>
      </c>
      <c r="U373" s="32">
        <f>P373/R373</f>
        <v>1.1494252873563218E-2</v>
      </c>
      <c r="V373" s="32">
        <f>Q373/R373</f>
        <v>0.74137931034482762</v>
      </c>
      <c r="W373" s="31">
        <f>P373/O373</f>
        <v>4.6511627906976744E-2</v>
      </c>
      <c r="X373" s="31">
        <f>Q373/(O373+P373)</f>
        <v>2.8666666666666667</v>
      </c>
      <c r="Y373" s="65">
        <f>R373/R$488</f>
        <v>1.0109255488192797E-3</v>
      </c>
      <c r="Z373" s="30">
        <v>378</v>
      </c>
      <c r="AA373" s="30">
        <v>436</v>
      </c>
      <c r="AB373" s="29">
        <v>446</v>
      </c>
      <c r="AC373" s="34">
        <f>Z373/R373</f>
        <v>1.0862068965517242</v>
      </c>
      <c r="AD373" s="34">
        <f>AA373/Z373</f>
        <v>1.1534391534391535</v>
      </c>
      <c r="AE373" s="34">
        <f>AB373/AA373</f>
        <v>1.0229357798165137</v>
      </c>
      <c r="AF373" s="35">
        <f>AB373/R373</f>
        <v>1.2816091954022988</v>
      </c>
      <c r="AG373" s="29">
        <f>0.6*Z373+0.4*AA373</f>
        <v>401.2</v>
      </c>
      <c r="AH373" s="54">
        <v>1480</v>
      </c>
      <c r="AI373" s="59">
        <f>AH373/AG373</f>
        <v>3.6889332003988038</v>
      </c>
      <c r="AJ373" s="61">
        <f>AI373/AI$488</f>
        <v>0.78391426456548019</v>
      </c>
    </row>
    <row r="374" spans="1:36" ht="15" customHeight="1" x14ac:dyDescent="0.2">
      <c r="A374" s="28" t="s">
        <v>207</v>
      </c>
      <c r="B374" s="28">
        <v>5</v>
      </c>
      <c r="C374" s="28" t="s">
        <v>122</v>
      </c>
      <c r="D374" s="28">
        <v>15</v>
      </c>
      <c r="E374" s="27"/>
      <c r="F374" s="27"/>
      <c r="G374" s="27" t="s">
        <v>219</v>
      </c>
      <c r="H374" s="27">
        <v>6</v>
      </c>
      <c r="I374" s="27" t="s">
        <v>618</v>
      </c>
      <c r="J374" s="27">
        <v>6</v>
      </c>
      <c r="K374" s="27">
        <v>7</v>
      </c>
      <c r="L374" s="27">
        <v>31</v>
      </c>
      <c r="M374" s="29">
        <v>22</v>
      </c>
      <c r="N374" s="30">
        <v>28</v>
      </c>
      <c r="O374" s="30">
        <v>63</v>
      </c>
      <c r="P374" s="30">
        <v>26</v>
      </c>
      <c r="Q374" s="30">
        <v>39</v>
      </c>
      <c r="R374" s="30">
        <v>128</v>
      </c>
      <c r="S374" s="31">
        <f>R374/N374</f>
        <v>4.5714285714285712</v>
      </c>
      <c r="T374" s="32">
        <f>O374/R374</f>
        <v>0.4921875</v>
      </c>
      <c r="U374" s="32">
        <f>P374/R374</f>
        <v>0.203125</v>
      </c>
      <c r="V374" s="32">
        <f>Q374/R374</f>
        <v>0.3046875</v>
      </c>
      <c r="W374" s="31">
        <f>P374/O374</f>
        <v>0.41269841269841268</v>
      </c>
      <c r="X374" s="31">
        <f>Q374/(O374+P374)</f>
        <v>0.43820224719101125</v>
      </c>
      <c r="Y374" s="65">
        <f>R374/R$488</f>
        <v>3.7183468462318332E-4</v>
      </c>
      <c r="Z374" s="30">
        <v>140</v>
      </c>
      <c r="AA374" s="30">
        <v>186</v>
      </c>
      <c r="AB374" s="29">
        <v>185</v>
      </c>
      <c r="AC374" s="34">
        <f>Z374/R374</f>
        <v>1.09375</v>
      </c>
      <c r="AD374" s="34">
        <f>AA374/Z374</f>
        <v>1.3285714285714285</v>
      </c>
      <c r="AE374" s="34">
        <f>AB374/AA374</f>
        <v>0.9946236559139785</v>
      </c>
      <c r="AF374" s="35">
        <f>AB374/R374</f>
        <v>1.4453125</v>
      </c>
      <c r="AG374" s="29">
        <f>0.6*Z374+0.4*AA374</f>
        <v>158.4</v>
      </c>
      <c r="AH374" s="54">
        <v>1328</v>
      </c>
      <c r="AI374" s="59">
        <f>AH374/AG374</f>
        <v>8.3838383838383841</v>
      </c>
      <c r="AJ374" s="61">
        <f>AI374/AI$488</f>
        <v>1.781601927677086</v>
      </c>
    </row>
    <row r="375" spans="1:36" ht="15" customHeight="1" x14ac:dyDescent="0.2">
      <c r="A375" s="28" t="s">
        <v>155</v>
      </c>
      <c r="B375" s="28"/>
      <c r="C375" s="28" t="s">
        <v>112</v>
      </c>
      <c r="D375" s="28">
        <v>6</v>
      </c>
      <c r="E375" s="27"/>
      <c r="F375" s="27"/>
      <c r="G375" s="27" t="s">
        <v>287</v>
      </c>
      <c r="H375" s="27">
        <v>25</v>
      </c>
      <c r="I375" s="27" t="s">
        <v>624</v>
      </c>
      <c r="J375" s="27">
        <v>4</v>
      </c>
      <c r="K375" s="27">
        <v>4</v>
      </c>
      <c r="L375" s="27">
        <v>90</v>
      </c>
      <c r="M375" s="29">
        <v>57</v>
      </c>
      <c r="N375" s="30">
        <v>65</v>
      </c>
      <c r="O375" s="30">
        <v>101</v>
      </c>
      <c r="P375" s="30">
        <v>28</v>
      </c>
      <c r="Q375" s="30">
        <v>251</v>
      </c>
      <c r="R375" s="30">
        <v>380</v>
      </c>
      <c r="S375" s="31">
        <f>R375/N375</f>
        <v>5.8461538461538458</v>
      </c>
      <c r="T375" s="32">
        <f>O375/R375</f>
        <v>0.26578947368421052</v>
      </c>
      <c r="U375" s="32">
        <f>P375/R375</f>
        <v>7.3684210526315783E-2</v>
      </c>
      <c r="V375" s="32">
        <f>Q375/R375</f>
        <v>0.66052631578947374</v>
      </c>
      <c r="W375" s="31">
        <f>P375/O375</f>
        <v>0.27722772277227725</v>
      </c>
      <c r="X375" s="31">
        <f>Q375/(O375+P375)</f>
        <v>1.945736434108527</v>
      </c>
      <c r="Y375" s="65">
        <f>R375/R$488</f>
        <v>1.1038842199750756E-3</v>
      </c>
      <c r="Z375" s="30">
        <v>366</v>
      </c>
      <c r="AA375" s="30">
        <v>429</v>
      </c>
      <c r="AB375" s="29">
        <v>511</v>
      </c>
      <c r="AC375" s="34">
        <f>Z375/R375</f>
        <v>0.9631578947368421</v>
      </c>
      <c r="AD375" s="34">
        <f>AA375/Z375</f>
        <v>1.1721311475409837</v>
      </c>
      <c r="AE375" s="34">
        <f>AB375/AA375</f>
        <v>1.1911421911421911</v>
      </c>
      <c r="AF375" s="35">
        <f>AB375/R375</f>
        <v>1.3447368421052632</v>
      </c>
      <c r="AG375" s="29">
        <f>0.6*Z375+0.4*AA375</f>
        <v>391.20000000000005</v>
      </c>
      <c r="AH375" s="54">
        <v>3392</v>
      </c>
      <c r="AI375" s="59">
        <f>AH375/AG375</f>
        <v>8.670756646216768</v>
      </c>
      <c r="AJ375" s="61">
        <f>AI375/AI$488</f>
        <v>1.8425732997307844</v>
      </c>
    </row>
    <row r="376" spans="1:36" ht="15" customHeight="1" x14ac:dyDescent="0.2">
      <c r="A376" s="27" t="s">
        <v>99</v>
      </c>
      <c r="B376" s="27"/>
      <c r="C376" s="27" t="s">
        <v>35</v>
      </c>
      <c r="D376" s="27">
        <v>11</v>
      </c>
      <c r="E376" s="27"/>
      <c r="F376" s="27"/>
      <c r="G376" s="27" t="s">
        <v>106</v>
      </c>
      <c r="H376" s="27">
        <v>12</v>
      </c>
      <c r="I376" s="27" t="s">
        <v>111</v>
      </c>
      <c r="J376" s="27">
        <v>5</v>
      </c>
      <c r="K376" s="27">
        <v>6</v>
      </c>
      <c r="L376" s="27">
        <v>56</v>
      </c>
      <c r="M376" s="29">
        <v>12</v>
      </c>
      <c r="N376" s="30">
        <v>13</v>
      </c>
      <c r="O376" s="30">
        <v>51</v>
      </c>
      <c r="P376" s="30">
        <v>4</v>
      </c>
      <c r="Q376" s="30">
        <v>16</v>
      </c>
      <c r="R376" s="30">
        <v>71</v>
      </c>
      <c r="S376" s="31">
        <f>R376/N376</f>
        <v>5.4615384615384617</v>
      </c>
      <c r="T376" s="32">
        <f>O376/R376</f>
        <v>0.71830985915492962</v>
      </c>
      <c r="U376" s="32">
        <f>P376/R376</f>
        <v>5.6338028169014086E-2</v>
      </c>
      <c r="V376" s="32">
        <f>Q376/R376</f>
        <v>0.22535211267605634</v>
      </c>
      <c r="W376" s="31">
        <f>P376/O376</f>
        <v>7.8431372549019607E-2</v>
      </c>
      <c r="X376" s="31">
        <f>Q376/(O376+P376)</f>
        <v>0.29090909090909089</v>
      </c>
      <c r="Y376" s="65">
        <f>R376/R$488</f>
        <v>2.0625205162692201E-4</v>
      </c>
      <c r="Z376" s="30">
        <v>60</v>
      </c>
      <c r="AA376" s="30">
        <v>70</v>
      </c>
      <c r="AB376" s="29">
        <v>89</v>
      </c>
      <c r="AC376" s="34">
        <f>Z376/R376</f>
        <v>0.84507042253521125</v>
      </c>
      <c r="AD376" s="34">
        <f>AA376/Z376</f>
        <v>1.1666666666666667</v>
      </c>
      <c r="AE376" s="34">
        <f>AB376/AA376</f>
        <v>1.2714285714285714</v>
      </c>
      <c r="AF376" s="35">
        <f>AB376/R376</f>
        <v>1.2535211267605635</v>
      </c>
      <c r="AG376" s="29">
        <f>0.6*Z376+0.4*AA376</f>
        <v>64</v>
      </c>
      <c r="AH376" s="54">
        <v>561</v>
      </c>
      <c r="AI376" s="59">
        <f>AH376/AG376</f>
        <v>8.765625</v>
      </c>
      <c r="AJ376" s="61">
        <f>AI376/AI$488</f>
        <v>1.8627332353399411</v>
      </c>
    </row>
    <row r="377" spans="1:36" ht="15" customHeight="1" x14ac:dyDescent="0.2">
      <c r="A377" s="27" t="s">
        <v>331</v>
      </c>
      <c r="B377" s="27"/>
      <c r="C377" s="27" t="s">
        <v>331</v>
      </c>
      <c r="D377" s="27">
        <v>24</v>
      </c>
      <c r="E377" s="27"/>
      <c r="F377" s="27"/>
      <c r="G377" s="27" t="s">
        <v>331</v>
      </c>
      <c r="H377" s="27">
        <v>17</v>
      </c>
      <c r="I377" s="27" t="s">
        <v>620</v>
      </c>
      <c r="J377" s="27">
        <v>10</v>
      </c>
      <c r="K377" s="27">
        <v>1</v>
      </c>
      <c r="L377" s="27">
        <v>54</v>
      </c>
      <c r="M377" s="29">
        <v>90</v>
      </c>
      <c r="N377" s="30">
        <v>93</v>
      </c>
      <c r="O377" s="30">
        <v>214</v>
      </c>
      <c r="P377" s="30">
        <v>42</v>
      </c>
      <c r="Q377" s="30">
        <v>257</v>
      </c>
      <c r="R377" s="30">
        <v>513</v>
      </c>
      <c r="S377" s="31">
        <f>R377/N377</f>
        <v>5.5161290322580649</v>
      </c>
      <c r="T377" s="32">
        <f>O377/R377</f>
        <v>0.4171539961013645</v>
      </c>
      <c r="U377" s="32">
        <f>P377/R377</f>
        <v>8.1871345029239762E-2</v>
      </c>
      <c r="V377" s="32">
        <f>Q377/R377</f>
        <v>0.50097465886939574</v>
      </c>
      <c r="W377" s="31">
        <f>P377/O377</f>
        <v>0.19626168224299065</v>
      </c>
      <c r="X377" s="31">
        <f>Q377/(O377+P377)</f>
        <v>1.00390625</v>
      </c>
      <c r="Y377" s="65">
        <f>R377/R$488</f>
        <v>1.4902436969663519E-3</v>
      </c>
      <c r="Z377" s="30">
        <v>533</v>
      </c>
      <c r="AA377" s="30">
        <v>645</v>
      </c>
      <c r="AB377" s="29">
        <v>688</v>
      </c>
      <c r="AC377" s="34">
        <f>Z377/R377</f>
        <v>1.0389863547758285</v>
      </c>
      <c r="AD377" s="34">
        <f>AA377/Z377</f>
        <v>1.2101313320825515</v>
      </c>
      <c r="AE377" s="34">
        <f>AB377/AA377</f>
        <v>1.0666666666666667</v>
      </c>
      <c r="AF377" s="35">
        <f>AB377/R377</f>
        <v>1.341130604288499</v>
      </c>
      <c r="AG377" s="29">
        <f>0.6*Z377+0.4*AA377</f>
        <v>577.79999999999995</v>
      </c>
      <c r="AH377" s="54">
        <v>3917</v>
      </c>
      <c r="AI377" s="59">
        <f>AH377/AG377</f>
        <v>6.7791623399100036</v>
      </c>
      <c r="AJ377" s="61">
        <f>AI377/AI$488</f>
        <v>1.4406013260110087</v>
      </c>
    </row>
    <row r="378" spans="1:36" ht="15" customHeight="1" x14ac:dyDescent="0.2">
      <c r="A378" s="28" t="s">
        <v>292</v>
      </c>
      <c r="B378" s="28"/>
      <c r="C378" s="28" t="s">
        <v>124</v>
      </c>
      <c r="D378" s="28">
        <v>30</v>
      </c>
      <c r="E378" s="27"/>
      <c r="F378" s="27"/>
      <c r="G378" s="27" t="s">
        <v>201</v>
      </c>
      <c r="H378" s="27">
        <v>3</v>
      </c>
      <c r="I378" s="27" t="s">
        <v>621</v>
      </c>
      <c r="J378" s="27">
        <v>7</v>
      </c>
      <c r="K378" s="27">
        <v>6</v>
      </c>
      <c r="L378" s="27">
        <v>62</v>
      </c>
      <c r="M378" s="29">
        <v>134</v>
      </c>
      <c r="N378" s="30">
        <v>140</v>
      </c>
      <c r="O378" s="30">
        <v>549</v>
      </c>
      <c r="P378" s="30">
        <v>125</v>
      </c>
      <c r="Q378" s="30">
        <v>12</v>
      </c>
      <c r="R378" s="30">
        <v>686</v>
      </c>
      <c r="S378" s="31">
        <f>R378/N378</f>
        <v>4.9000000000000004</v>
      </c>
      <c r="T378" s="32">
        <f>O378/R378</f>
        <v>0.80029154518950441</v>
      </c>
      <c r="U378" s="32">
        <f>P378/R378</f>
        <v>0.18221574344023322</v>
      </c>
      <c r="V378" s="32">
        <f>Q378/R378</f>
        <v>1.7492711370262391E-2</v>
      </c>
      <c r="W378" s="31">
        <f>P378/O378</f>
        <v>0.22768670309653916</v>
      </c>
      <c r="X378" s="31">
        <f>Q378/(O378+P378)</f>
        <v>1.7804154302670624E-2</v>
      </c>
      <c r="Y378" s="65">
        <f>R378/R$488</f>
        <v>1.9928015129023731E-3</v>
      </c>
      <c r="Z378" s="30">
        <v>724</v>
      </c>
      <c r="AA378" s="30">
        <v>737</v>
      </c>
      <c r="AB378" s="29">
        <v>644</v>
      </c>
      <c r="AC378" s="34">
        <f>Z378/R378</f>
        <v>1.055393586005831</v>
      </c>
      <c r="AD378" s="34">
        <f>AA378/Z378</f>
        <v>1.0179558011049723</v>
      </c>
      <c r="AE378" s="34">
        <f>AB378/AA378</f>
        <v>0.87381275440976935</v>
      </c>
      <c r="AF378" s="35">
        <f>AB378/R378</f>
        <v>0.93877551020408168</v>
      </c>
      <c r="AG378" s="29">
        <f>0.6*Z378+0.4*AA378</f>
        <v>729.2</v>
      </c>
      <c r="AH378" s="54">
        <v>4626</v>
      </c>
      <c r="AI378" s="59">
        <f>AH378/AG378</f>
        <v>6.3439385628085567</v>
      </c>
      <c r="AJ378" s="61">
        <f>AI378/AI$488</f>
        <v>1.3481143904625397</v>
      </c>
    </row>
    <row r="379" spans="1:36" ht="15" customHeight="1" x14ac:dyDescent="0.2">
      <c r="A379" s="28" t="s">
        <v>165</v>
      </c>
      <c r="B379" s="28">
        <v>2</v>
      </c>
      <c r="C379" s="28" t="s">
        <v>107</v>
      </c>
      <c r="D379" s="28">
        <v>7</v>
      </c>
      <c r="E379" s="27"/>
      <c r="F379" s="27"/>
      <c r="G379" s="27" t="s">
        <v>336</v>
      </c>
      <c r="H379" s="27">
        <v>10</v>
      </c>
      <c r="I379" s="27" t="s">
        <v>618</v>
      </c>
      <c r="J379" s="27">
        <v>6</v>
      </c>
      <c r="K379" s="27">
        <v>7</v>
      </c>
      <c r="L379" s="27">
        <v>30</v>
      </c>
      <c r="M379" s="29">
        <v>91</v>
      </c>
      <c r="N379" s="30">
        <v>107</v>
      </c>
      <c r="O379" s="30">
        <v>122</v>
      </c>
      <c r="P379" s="30">
        <v>41</v>
      </c>
      <c r="Q379" s="30">
        <v>395</v>
      </c>
      <c r="R379" s="30">
        <v>558</v>
      </c>
      <c r="S379" s="31">
        <f>R379/N379</f>
        <v>5.2149532710280377</v>
      </c>
      <c r="T379" s="32">
        <f>O379/R379</f>
        <v>0.21863799283154123</v>
      </c>
      <c r="U379" s="32">
        <f>P379/R379</f>
        <v>7.3476702508960573E-2</v>
      </c>
      <c r="V379" s="32">
        <f>Q379/R379</f>
        <v>0.70788530465949817</v>
      </c>
      <c r="W379" s="31">
        <f>P379/O379</f>
        <v>0.33606557377049179</v>
      </c>
      <c r="X379" s="31">
        <f>Q379/(O379+P379)</f>
        <v>2.423312883435583</v>
      </c>
      <c r="Y379" s="65">
        <f>R379/R$488</f>
        <v>1.6209668282791898E-3</v>
      </c>
      <c r="Z379" s="30">
        <v>584</v>
      </c>
      <c r="AA379" s="30">
        <v>593</v>
      </c>
      <c r="AB379" s="29">
        <v>617</v>
      </c>
      <c r="AC379" s="34">
        <f>Z379/R379</f>
        <v>1.0465949820788532</v>
      </c>
      <c r="AD379" s="34">
        <f>AA379/Z379</f>
        <v>1.0154109589041096</v>
      </c>
      <c r="AE379" s="34">
        <f>AB379/AA379</f>
        <v>1.0404721753794266</v>
      </c>
      <c r="AF379" s="35">
        <f>AB379/R379</f>
        <v>1.1057347670250897</v>
      </c>
      <c r="AG379" s="29">
        <f>0.6*Z379+0.4*AA379</f>
        <v>587.6</v>
      </c>
      <c r="AH379" s="54">
        <v>4945</v>
      </c>
      <c r="AI379" s="59">
        <f>AH379/AG379</f>
        <v>8.4155888359428186</v>
      </c>
      <c r="AJ379" s="61">
        <f>AI379/AI$488</f>
        <v>1.7883490361116812</v>
      </c>
    </row>
    <row r="380" spans="1:36" ht="15" customHeight="1" x14ac:dyDescent="0.2">
      <c r="A380" s="28" t="s">
        <v>181</v>
      </c>
      <c r="B380" s="28">
        <v>2</v>
      </c>
      <c r="C380" s="28" t="s">
        <v>120</v>
      </c>
      <c r="D380" s="28">
        <v>9</v>
      </c>
      <c r="E380" s="27"/>
      <c r="F380" s="27" t="s">
        <v>481</v>
      </c>
      <c r="G380" s="27" t="s">
        <v>172</v>
      </c>
      <c r="H380" s="27">
        <v>1</v>
      </c>
      <c r="I380" s="27" t="s">
        <v>618</v>
      </c>
      <c r="J380" s="27">
        <v>6</v>
      </c>
      <c r="K380" s="27">
        <v>7</v>
      </c>
      <c r="L380" s="27">
        <v>27</v>
      </c>
      <c r="M380" s="29">
        <v>252</v>
      </c>
      <c r="N380" s="30">
        <v>262</v>
      </c>
      <c r="O380" s="30">
        <v>236</v>
      </c>
      <c r="P380" s="30">
        <v>383</v>
      </c>
      <c r="Q380" s="30">
        <v>614</v>
      </c>
      <c r="R380" s="30">
        <v>1233</v>
      </c>
      <c r="S380" s="31">
        <f>R380/N380</f>
        <v>4.7061068702290072</v>
      </c>
      <c r="T380" s="32">
        <f>O380/R380</f>
        <v>0.19140308191403083</v>
      </c>
      <c r="U380" s="32">
        <f>P380/R380</f>
        <v>0.31062449310624496</v>
      </c>
      <c r="V380" s="32">
        <f>Q380/R380</f>
        <v>0.49797242497972427</v>
      </c>
      <c r="W380" s="31">
        <f>P380/O380</f>
        <v>1.6228813559322033</v>
      </c>
      <c r="X380" s="31">
        <f>Q380/(O380+P380)</f>
        <v>0.99192245557350567</v>
      </c>
      <c r="Y380" s="65">
        <f>R380/R$488</f>
        <v>3.5818137979717578E-3</v>
      </c>
      <c r="Z380" s="30">
        <v>1359</v>
      </c>
      <c r="AA380" s="30">
        <v>1612</v>
      </c>
      <c r="AB380" s="29">
        <v>1725</v>
      </c>
      <c r="AC380" s="34">
        <f>Z380/R380</f>
        <v>1.1021897810218979</v>
      </c>
      <c r="AD380" s="34">
        <f>AA380/Z380</f>
        <v>1.1861662987490802</v>
      </c>
      <c r="AE380" s="34">
        <f>AB380/AA380</f>
        <v>1.0700992555831266</v>
      </c>
      <c r="AF380" s="35">
        <f>AB380/R380</f>
        <v>1.3990267639902676</v>
      </c>
      <c r="AG380" s="29">
        <f>0.6*Z380+0.4*AA380</f>
        <v>1460.2</v>
      </c>
      <c r="AH380" s="54">
        <v>10057</v>
      </c>
      <c r="AI380" s="59">
        <f>AH380/AG380</f>
        <v>6.887412683194083</v>
      </c>
      <c r="AJ380" s="61">
        <f>AI380/AI$488</f>
        <v>1.4636049922837744</v>
      </c>
    </row>
    <row r="381" spans="1:36" ht="15" customHeight="1" x14ac:dyDescent="0.2">
      <c r="A381" s="27" t="s">
        <v>182</v>
      </c>
      <c r="B381" s="27">
        <v>1</v>
      </c>
      <c r="C381" s="28" t="s">
        <v>120</v>
      </c>
      <c r="D381" s="28">
        <v>9</v>
      </c>
      <c r="E381" s="27" t="s">
        <v>420</v>
      </c>
      <c r="F381" s="27"/>
      <c r="G381" s="27" t="s">
        <v>172</v>
      </c>
      <c r="H381" s="27">
        <v>1</v>
      </c>
      <c r="I381" s="27" t="s">
        <v>618</v>
      </c>
      <c r="J381" s="27">
        <v>6</v>
      </c>
      <c r="K381" s="27">
        <v>7</v>
      </c>
      <c r="L381" s="27">
        <v>25</v>
      </c>
      <c r="M381" s="29">
        <v>229</v>
      </c>
      <c r="N381" s="30">
        <v>247</v>
      </c>
      <c r="O381" s="30">
        <v>109</v>
      </c>
      <c r="P381" s="30">
        <v>153</v>
      </c>
      <c r="Q381" s="30">
        <v>990</v>
      </c>
      <c r="R381" s="30">
        <v>1252</v>
      </c>
      <c r="S381" s="31">
        <f>R381/N381</f>
        <v>5.0688259109311744</v>
      </c>
      <c r="T381" s="32">
        <f>O381/R381</f>
        <v>8.7060702875399368E-2</v>
      </c>
      <c r="U381" s="32">
        <f>P381/R381</f>
        <v>0.12220447284345048</v>
      </c>
      <c r="V381" s="32">
        <f>Q381/R381</f>
        <v>0.79073482428115016</v>
      </c>
      <c r="W381" s="31">
        <f>P381/O381</f>
        <v>1.4036697247706422</v>
      </c>
      <c r="X381" s="31">
        <f>Q381/(O381+P381)</f>
        <v>3.7786259541984735</v>
      </c>
      <c r="Y381" s="65">
        <f>R381/R$488</f>
        <v>3.6370080089705116E-3</v>
      </c>
      <c r="Z381" s="30">
        <v>1688</v>
      </c>
      <c r="AA381" s="30">
        <v>2747</v>
      </c>
      <c r="AB381" s="29">
        <v>3126</v>
      </c>
      <c r="AC381" s="34">
        <f>Z381/R381</f>
        <v>1.3482428115015974</v>
      </c>
      <c r="AD381" s="34">
        <f>AA381/Z381</f>
        <v>1.6273696682464456</v>
      </c>
      <c r="AE381" s="34">
        <f>AB381/AA381</f>
        <v>1.137968693119767</v>
      </c>
      <c r="AF381" s="35">
        <f>AB381/R381</f>
        <v>2.4968051118210863</v>
      </c>
      <c r="AG381" s="29">
        <f>0.6*Z381+0.4*AA381</f>
        <v>2111.6</v>
      </c>
      <c r="AH381" s="54">
        <v>9634</v>
      </c>
      <c r="AI381" s="59">
        <f>AH381/AG381</f>
        <v>4.5624171244553891</v>
      </c>
      <c r="AJ381" s="61">
        <f>AI381/AI$488</f>
        <v>0.96953337739261469</v>
      </c>
    </row>
    <row r="382" spans="1:36" ht="15" customHeight="1" x14ac:dyDescent="0.2">
      <c r="A382" s="28" t="s">
        <v>208</v>
      </c>
      <c r="B382" s="28"/>
      <c r="C382" s="28" t="s">
        <v>122</v>
      </c>
      <c r="D382" s="28">
        <v>15</v>
      </c>
      <c r="E382" s="27" t="s">
        <v>421</v>
      </c>
      <c r="F382" s="27"/>
      <c r="G382" s="27" t="s">
        <v>206</v>
      </c>
      <c r="H382" s="27">
        <v>16</v>
      </c>
      <c r="I382" s="27" t="s">
        <v>621</v>
      </c>
      <c r="J382" s="27">
        <v>7</v>
      </c>
      <c r="K382" s="27">
        <v>6</v>
      </c>
      <c r="L382" s="27">
        <v>63</v>
      </c>
      <c r="M382" s="29">
        <v>234</v>
      </c>
      <c r="N382" s="30">
        <v>298</v>
      </c>
      <c r="O382" s="30">
        <v>353</v>
      </c>
      <c r="P382" s="30">
        <v>239</v>
      </c>
      <c r="Q382" s="30">
        <v>644</v>
      </c>
      <c r="R382" s="30">
        <v>1236</v>
      </c>
      <c r="S382" s="31">
        <f>R382/N382</f>
        <v>4.147651006711409</v>
      </c>
      <c r="T382" s="32">
        <f>O382/R382</f>
        <v>0.28559870550161814</v>
      </c>
      <c r="U382" s="32">
        <f>P382/R382</f>
        <v>0.19336569579288027</v>
      </c>
      <c r="V382" s="32">
        <f>Q382/R382</f>
        <v>0.52103559870550165</v>
      </c>
      <c r="W382" s="31">
        <f>P382/O382</f>
        <v>0.67705382436260619</v>
      </c>
      <c r="X382" s="31">
        <f>Q382/(O382+P382)</f>
        <v>1.0878378378378379</v>
      </c>
      <c r="Y382" s="65">
        <f>R382/R$488</f>
        <v>3.5905286733926138E-3</v>
      </c>
      <c r="Z382" s="30">
        <v>1231</v>
      </c>
      <c r="AA382" s="30">
        <v>1308</v>
      </c>
      <c r="AB382" s="29">
        <v>1389</v>
      </c>
      <c r="AC382" s="34">
        <f>Z382/R382</f>
        <v>0.99595469255663427</v>
      </c>
      <c r="AD382" s="34">
        <f>AA382/Z382</f>
        <v>1.0625507717303007</v>
      </c>
      <c r="AE382" s="34">
        <f>AB382/AA382</f>
        <v>1.0619266055045871</v>
      </c>
      <c r="AF382" s="35">
        <f>AB382/R382</f>
        <v>1.1237864077669903</v>
      </c>
      <c r="AG382" s="29">
        <f>0.6*Z382+0.4*AA382</f>
        <v>1261.8000000000002</v>
      </c>
      <c r="AH382" s="54">
        <v>8158</v>
      </c>
      <c r="AI382" s="59">
        <f>AH382/AG382</f>
        <v>6.4653669361229982</v>
      </c>
      <c r="AJ382" s="61">
        <f>AI382/AI$488</f>
        <v>1.3739184451290438</v>
      </c>
    </row>
    <row r="383" spans="1:36" ht="15" customHeight="1" x14ac:dyDescent="0.2">
      <c r="A383" s="27" t="s">
        <v>90</v>
      </c>
      <c r="B383" s="27"/>
      <c r="C383" s="27" t="s">
        <v>112</v>
      </c>
      <c r="D383" s="27">
        <v>6</v>
      </c>
      <c r="E383" s="27"/>
      <c r="F383" s="27"/>
      <c r="G383" s="27" t="s">
        <v>287</v>
      </c>
      <c r="H383" s="27">
        <v>25</v>
      </c>
      <c r="I383" s="27" t="s">
        <v>624</v>
      </c>
      <c r="J383" s="27">
        <v>4</v>
      </c>
      <c r="K383" s="27">
        <v>4</v>
      </c>
      <c r="L383" s="27">
        <v>92</v>
      </c>
      <c r="M383" s="29">
        <v>102</v>
      </c>
      <c r="N383" s="30">
        <v>102</v>
      </c>
      <c r="O383" s="30">
        <v>250</v>
      </c>
      <c r="P383" s="30">
        <v>22</v>
      </c>
      <c r="Q383" s="30">
        <v>286</v>
      </c>
      <c r="R383" s="30">
        <v>558</v>
      </c>
      <c r="S383" s="31">
        <f>R383/N383</f>
        <v>5.4705882352941178</v>
      </c>
      <c r="T383" s="32">
        <f>O383/R383</f>
        <v>0.44802867383512546</v>
      </c>
      <c r="U383" s="32">
        <f>P383/R383</f>
        <v>3.9426523297491037E-2</v>
      </c>
      <c r="V383" s="32">
        <f>Q383/R383</f>
        <v>0.51254480286738346</v>
      </c>
      <c r="W383" s="31">
        <f>P383/O383</f>
        <v>8.7999999999999995E-2</v>
      </c>
      <c r="X383" s="31">
        <f>Q383/(O383+P383)</f>
        <v>1.0514705882352942</v>
      </c>
      <c r="Y383" s="65">
        <f>R383/R$488</f>
        <v>1.6209668282791898E-3</v>
      </c>
      <c r="Z383" s="30">
        <v>572</v>
      </c>
      <c r="AA383" s="30">
        <v>689</v>
      </c>
      <c r="AB383" s="29">
        <v>665</v>
      </c>
      <c r="AC383" s="34">
        <f>Z383/R383</f>
        <v>1.0250896057347669</v>
      </c>
      <c r="AD383" s="34">
        <f>AA383/Z383</f>
        <v>1.2045454545454546</v>
      </c>
      <c r="AE383" s="34">
        <f>AB383/AA383</f>
        <v>0.96516690856313503</v>
      </c>
      <c r="AF383" s="35">
        <f>AB383/R383</f>
        <v>1.1917562724014337</v>
      </c>
      <c r="AG383" s="29">
        <f>0.6*Z383+0.4*AA383</f>
        <v>618.79999999999995</v>
      </c>
      <c r="AH383" s="54">
        <v>4413</v>
      </c>
      <c r="AI383" s="59">
        <f>AH383/AG383</f>
        <v>7.1315449256625731</v>
      </c>
      <c r="AJ383" s="61">
        <f>AI383/AI$488</f>
        <v>1.5154841500008938</v>
      </c>
    </row>
    <row r="384" spans="1:36" ht="15" customHeight="1" x14ac:dyDescent="0.2">
      <c r="A384" s="28" t="s">
        <v>230</v>
      </c>
      <c r="B384" s="28"/>
      <c r="C384" s="28" t="s">
        <v>121</v>
      </c>
      <c r="D384" s="28">
        <v>18</v>
      </c>
      <c r="E384" s="27"/>
      <c r="F384" s="27"/>
      <c r="G384" s="27" t="s">
        <v>126</v>
      </c>
      <c r="H384" s="27">
        <v>20</v>
      </c>
      <c r="I384" s="27" t="s">
        <v>622</v>
      </c>
      <c r="J384" s="27">
        <v>8</v>
      </c>
      <c r="K384" s="27">
        <v>3</v>
      </c>
      <c r="L384" s="27">
        <v>45</v>
      </c>
      <c r="M384" s="37">
        <v>76</v>
      </c>
      <c r="N384" s="40">
        <v>88</v>
      </c>
      <c r="O384" s="40">
        <v>198</v>
      </c>
      <c r="P384" s="40">
        <v>54</v>
      </c>
      <c r="Q384" s="40">
        <v>198</v>
      </c>
      <c r="R384" s="40">
        <v>450</v>
      </c>
      <c r="S384" s="31">
        <f>R384/N384</f>
        <v>5.1136363636363633</v>
      </c>
      <c r="T384" s="32">
        <f>O384/R384</f>
        <v>0.44</v>
      </c>
      <c r="U384" s="32">
        <f>P384/R384</f>
        <v>0.12</v>
      </c>
      <c r="V384" s="32">
        <f>Q384/R384</f>
        <v>0.44</v>
      </c>
      <c r="W384" s="31">
        <f>P384/O384</f>
        <v>0.27272727272727271</v>
      </c>
      <c r="X384" s="31">
        <f>Q384/(O384+P384)</f>
        <v>0.7857142857142857</v>
      </c>
      <c r="Y384" s="65">
        <f>R384/R$488</f>
        <v>1.3072313131283788E-3</v>
      </c>
      <c r="Z384" s="30">
        <v>484</v>
      </c>
      <c r="AA384" s="30">
        <v>546</v>
      </c>
      <c r="AB384" s="29">
        <v>625</v>
      </c>
      <c r="AC384" s="34">
        <f>Z384/R384</f>
        <v>1.0755555555555556</v>
      </c>
      <c r="AD384" s="34">
        <f>AA384/Z384</f>
        <v>1.1280991735537189</v>
      </c>
      <c r="AE384" s="34">
        <f>AB384/AA384</f>
        <v>1.1446886446886446</v>
      </c>
      <c r="AF384" s="35">
        <f>AB384/R384</f>
        <v>1.3888888888888888</v>
      </c>
      <c r="AG384" s="29">
        <f>0.6*Z384+0.4*AA384</f>
        <v>508.79999999999995</v>
      </c>
      <c r="AH384" s="54">
        <v>2119</v>
      </c>
      <c r="AI384" s="59">
        <f>AH384/AG384</f>
        <v>4.164701257861636</v>
      </c>
      <c r="AJ384" s="61">
        <f>AI384/AI$488</f>
        <v>0.88501703509800245</v>
      </c>
    </row>
    <row r="385" spans="1:36" ht="15" customHeight="1" x14ac:dyDescent="0.2">
      <c r="A385" s="28" t="s">
        <v>46</v>
      </c>
      <c r="B385" s="28"/>
      <c r="C385" s="28" t="s">
        <v>110</v>
      </c>
      <c r="D385" s="27">
        <v>26</v>
      </c>
      <c r="E385" s="27" t="s">
        <v>420</v>
      </c>
      <c r="F385" s="27"/>
      <c r="G385" s="27" t="s">
        <v>26</v>
      </c>
      <c r="H385" s="27">
        <v>24</v>
      </c>
      <c r="I385" s="27" t="s">
        <v>624</v>
      </c>
      <c r="J385" s="27">
        <v>4</v>
      </c>
      <c r="K385" s="27">
        <v>4</v>
      </c>
      <c r="L385" s="27">
        <v>88</v>
      </c>
      <c r="M385" s="29">
        <v>163</v>
      </c>
      <c r="N385" s="30">
        <v>163</v>
      </c>
      <c r="O385" s="30">
        <v>972</v>
      </c>
      <c r="P385" s="30">
        <v>60</v>
      </c>
      <c r="Q385" s="30">
        <v>0</v>
      </c>
      <c r="R385" s="30">
        <v>1032</v>
      </c>
      <c r="S385" s="31">
        <f>R385/N385</f>
        <v>6.3312883435582821</v>
      </c>
      <c r="T385" s="32">
        <f>O385/R385</f>
        <v>0.94186046511627908</v>
      </c>
      <c r="U385" s="32">
        <f>P385/R385</f>
        <v>5.8139534883720929E-2</v>
      </c>
      <c r="V385" s="32">
        <f>Q385/R385</f>
        <v>0</v>
      </c>
      <c r="W385" s="31">
        <f>P385/O385</f>
        <v>6.1728395061728392E-2</v>
      </c>
      <c r="X385" s="31">
        <f>Q385/(O385+P385)</f>
        <v>0</v>
      </c>
      <c r="Y385" s="65">
        <f>R385/R$488</f>
        <v>2.9979171447744157E-3</v>
      </c>
      <c r="Z385" s="30">
        <v>1230</v>
      </c>
      <c r="AA385" s="30">
        <v>1401</v>
      </c>
      <c r="AB385" s="29">
        <v>1248</v>
      </c>
      <c r="AC385" s="34">
        <f>Z385/R385</f>
        <v>1.191860465116279</v>
      </c>
      <c r="AD385" s="34">
        <f>AA385/Z385</f>
        <v>1.1390243902439023</v>
      </c>
      <c r="AE385" s="34">
        <f>AB385/AA385</f>
        <v>0.8907922912205567</v>
      </c>
      <c r="AF385" s="35">
        <f>AB385/R385</f>
        <v>1.2093023255813953</v>
      </c>
      <c r="AG385" s="29">
        <f>0.6*Z385+0.4*AA385</f>
        <v>1298.4000000000001</v>
      </c>
      <c r="AH385" s="54">
        <v>8261</v>
      </c>
      <c r="AI385" s="59">
        <f>AH385/AG385</f>
        <v>6.3624460874922981</v>
      </c>
      <c r="AJ385" s="61">
        <f>AI385/AI$488</f>
        <v>1.3520473195271847</v>
      </c>
    </row>
    <row r="386" spans="1:36" ht="15" customHeight="1" x14ac:dyDescent="0.2">
      <c r="A386" s="28" t="s">
        <v>283</v>
      </c>
      <c r="B386" s="28"/>
      <c r="C386" s="28" t="s">
        <v>110</v>
      </c>
      <c r="D386" s="27">
        <v>26</v>
      </c>
      <c r="E386" s="27"/>
      <c r="F386" s="27"/>
      <c r="G386" s="27" t="s">
        <v>287</v>
      </c>
      <c r="H386" s="27">
        <v>25</v>
      </c>
      <c r="I386" s="27" t="s">
        <v>624</v>
      </c>
      <c r="J386" s="27">
        <v>4</v>
      </c>
      <c r="K386" s="27">
        <v>4</v>
      </c>
      <c r="L386" s="27">
        <v>86</v>
      </c>
      <c r="M386" s="29">
        <v>54</v>
      </c>
      <c r="N386" s="30">
        <v>58</v>
      </c>
      <c r="O386" s="30">
        <v>84</v>
      </c>
      <c r="P386" s="30">
        <v>118</v>
      </c>
      <c r="Q386" s="30">
        <v>84</v>
      </c>
      <c r="R386" s="30">
        <v>286</v>
      </c>
      <c r="S386" s="31">
        <f>R386/N386</f>
        <v>4.931034482758621</v>
      </c>
      <c r="T386" s="32">
        <f>O386/R386</f>
        <v>0.2937062937062937</v>
      </c>
      <c r="U386" s="32">
        <f>P386/R386</f>
        <v>0.41258741258741261</v>
      </c>
      <c r="V386" s="32">
        <f>Q386/R386</f>
        <v>0.2937062937062937</v>
      </c>
      <c r="W386" s="31">
        <f>P386/O386</f>
        <v>1.4047619047619047</v>
      </c>
      <c r="X386" s="31">
        <f>Q386/(O386+P386)</f>
        <v>0.41584158415841582</v>
      </c>
      <c r="Y386" s="65">
        <f>R386/R$488</f>
        <v>8.308181234549252E-4</v>
      </c>
      <c r="Z386" s="30">
        <v>313</v>
      </c>
      <c r="AA386" s="30">
        <v>383</v>
      </c>
      <c r="AB386" s="29">
        <v>357</v>
      </c>
      <c r="AC386" s="34">
        <f>Z386/R386</f>
        <v>1.0944055944055944</v>
      </c>
      <c r="AD386" s="34">
        <f>AA386/Z386</f>
        <v>1.2236421725239617</v>
      </c>
      <c r="AE386" s="34">
        <f>AB386/AA386</f>
        <v>0.93211488250652741</v>
      </c>
      <c r="AF386" s="35">
        <f>AB386/R386</f>
        <v>1.2482517482517483</v>
      </c>
      <c r="AG386" s="29">
        <f>0.6*Z386+0.4*AA386</f>
        <v>341</v>
      </c>
      <c r="AH386" s="54">
        <v>1764</v>
      </c>
      <c r="AI386" s="59">
        <f>AH386/AG386</f>
        <v>5.1730205278592374</v>
      </c>
      <c r="AJ386" s="61">
        <f>AI386/AI$488</f>
        <v>1.099289242277552</v>
      </c>
    </row>
    <row r="387" spans="1:36" ht="15" customHeight="1" x14ac:dyDescent="0.2">
      <c r="A387" s="28" t="s">
        <v>284</v>
      </c>
      <c r="B387" s="28"/>
      <c r="C387" s="28" t="s">
        <v>110</v>
      </c>
      <c r="D387" s="27">
        <v>26</v>
      </c>
      <c r="E387" s="27"/>
      <c r="F387" s="27"/>
      <c r="G387" s="27" t="s">
        <v>287</v>
      </c>
      <c r="H387" s="27">
        <v>25</v>
      </c>
      <c r="I387" s="27" t="s">
        <v>624</v>
      </c>
      <c r="J387" s="27">
        <v>4</v>
      </c>
      <c r="K387" s="27">
        <v>4</v>
      </c>
      <c r="L387" s="27">
        <v>87</v>
      </c>
      <c r="M387" s="29">
        <v>45</v>
      </c>
      <c r="N387" s="30">
        <v>53</v>
      </c>
      <c r="O387" s="30">
        <v>111</v>
      </c>
      <c r="P387" s="30">
        <v>33</v>
      </c>
      <c r="Q387" s="30">
        <v>158</v>
      </c>
      <c r="R387" s="30">
        <v>302</v>
      </c>
      <c r="S387" s="31">
        <f>R387/N387</f>
        <v>5.6981132075471699</v>
      </c>
      <c r="T387" s="32">
        <f>O387/R387</f>
        <v>0.36754966887417218</v>
      </c>
      <c r="U387" s="32">
        <f>P387/R387</f>
        <v>0.10927152317880795</v>
      </c>
      <c r="V387" s="32">
        <f>Q387/R387</f>
        <v>0.52317880794701987</v>
      </c>
      <c r="W387" s="31">
        <f>P387/O387</f>
        <v>0.29729729729729731</v>
      </c>
      <c r="X387" s="31">
        <f>Q387/(O387+P387)</f>
        <v>1.0972222222222223</v>
      </c>
      <c r="Y387" s="65">
        <f>R387/R$488</f>
        <v>8.7729745903282312E-4</v>
      </c>
      <c r="Z387" s="30">
        <v>325</v>
      </c>
      <c r="AA387" s="30">
        <v>356</v>
      </c>
      <c r="AB387" s="29">
        <v>415</v>
      </c>
      <c r="AC387" s="34">
        <f>Z387/R387</f>
        <v>1.076158940397351</v>
      </c>
      <c r="AD387" s="34">
        <f>AA387/Z387</f>
        <v>1.0953846153846154</v>
      </c>
      <c r="AE387" s="34">
        <f>AB387/AA387</f>
        <v>1.1657303370786516</v>
      </c>
      <c r="AF387" s="35">
        <f>AB387/R387</f>
        <v>1.3741721854304636</v>
      </c>
      <c r="AG387" s="29">
        <f>0.6*Z387+0.4*AA387</f>
        <v>337.4</v>
      </c>
      <c r="AH387" s="54">
        <v>2800</v>
      </c>
      <c r="AI387" s="59">
        <f>AH387/AG387</f>
        <v>8.2987551867219924</v>
      </c>
      <c r="AJ387" s="61">
        <f>AI387/AI$488</f>
        <v>1.7635213801932863</v>
      </c>
    </row>
    <row r="388" spans="1:36" ht="15" customHeight="1" x14ac:dyDescent="0.2">
      <c r="A388" s="27" t="s">
        <v>332</v>
      </c>
      <c r="B388" s="27"/>
      <c r="C388" s="27" t="s">
        <v>332</v>
      </c>
      <c r="D388" s="27">
        <v>25</v>
      </c>
      <c r="E388" s="27" t="s">
        <v>420</v>
      </c>
      <c r="F388" s="27"/>
      <c r="G388" s="27" t="s">
        <v>332</v>
      </c>
      <c r="H388" s="27">
        <v>18</v>
      </c>
      <c r="I388" s="27" t="s">
        <v>620</v>
      </c>
      <c r="J388" s="27">
        <v>10</v>
      </c>
      <c r="K388" s="27">
        <v>1</v>
      </c>
      <c r="L388" s="27">
        <v>51</v>
      </c>
      <c r="M388" s="29">
        <v>559</v>
      </c>
      <c r="N388" s="30">
        <v>572</v>
      </c>
      <c r="O388" s="30">
        <v>544</v>
      </c>
      <c r="P388" s="30">
        <v>2200</v>
      </c>
      <c r="Q388" s="30">
        <v>9</v>
      </c>
      <c r="R388" s="30">
        <v>2753</v>
      </c>
      <c r="S388" s="31">
        <f>R388/N388</f>
        <v>4.8129370629370634</v>
      </c>
      <c r="T388" s="32">
        <f>O388/R388</f>
        <v>0.1976026153287323</v>
      </c>
      <c r="U388" s="32">
        <f>P388/R388</f>
        <v>0.79912822375590264</v>
      </c>
      <c r="V388" s="32">
        <f>Q388/R388</f>
        <v>3.2691609153650564E-3</v>
      </c>
      <c r="W388" s="31">
        <f>P388/O388</f>
        <v>4.0441176470588234</v>
      </c>
      <c r="X388" s="31">
        <f>Q388/(O388+P388)</f>
        <v>3.2798833819241984E-3</v>
      </c>
      <c r="Y388" s="65">
        <f>R388/R$488</f>
        <v>7.9973506778720591E-3</v>
      </c>
      <c r="Z388" s="30">
        <v>2739</v>
      </c>
      <c r="AA388" s="30">
        <v>3314</v>
      </c>
      <c r="AB388" s="29">
        <v>3826</v>
      </c>
      <c r="AC388" s="34">
        <f>Z388/R388</f>
        <v>0.99491463857609885</v>
      </c>
      <c r="AD388" s="34">
        <f>AA388/Z388</f>
        <v>1.2099306316173786</v>
      </c>
      <c r="AE388" s="34">
        <f>AB388/AA388</f>
        <v>1.1544960772480386</v>
      </c>
      <c r="AF388" s="35">
        <f>AB388/R388</f>
        <v>1.3897566291318562</v>
      </c>
      <c r="AG388" s="29">
        <f>0.6*Z388+0.4*AA388</f>
        <v>2969</v>
      </c>
      <c r="AH388" s="54">
        <v>9906</v>
      </c>
      <c r="AI388" s="59">
        <f>AH388/AG388</f>
        <v>3.3364769282586728</v>
      </c>
      <c r="AJ388" s="61">
        <f>AI388/AI$488</f>
        <v>0.70901578189944769</v>
      </c>
    </row>
    <row r="389" spans="1:36" ht="15" customHeight="1" x14ac:dyDescent="0.2">
      <c r="A389" s="28" t="s">
        <v>156</v>
      </c>
      <c r="B389" s="28"/>
      <c r="C389" s="28" t="s">
        <v>112</v>
      </c>
      <c r="D389" s="28">
        <v>6</v>
      </c>
      <c r="E389" s="27"/>
      <c r="F389" s="27"/>
      <c r="G389" s="27" t="s">
        <v>287</v>
      </c>
      <c r="H389" s="27">
        <v>25</v>
      </c>
      <c r="I389" s="27" t="s">
        <v>624</v>
      </c>
      <c r="J389" s="27">
        <v>4</v>
      </c>
      <c r="K389" s="27">
        <v>4</v>
      </c>
      <c r="L389" s="27">
        <v>89</v>
      </c>
      <c r="M389" s="29">
        <v>83</v>
      </c>
      <c r="N389" s="30">
        <v>82</v>
      </c>
      <c r="O389" s="30">
        <v>101</v>
      </c>
      <c r="P389" s="30">
        <v>35</v>
      </c>
      <c r="Q389" s="30">
        <v>276</v>
      </c>
      <c r="R389" s="30">
        <v>412</v>
      </c>
      <c r="S389" s="31">
        <f>R389/N389</f>
        <v>5.024390243902439</v>
      </c>
      <c r="T389" s="32">
        <f>O389/R389</f>
        <v>0.24514563106796117</v>
      </c>
      <c r="U389" s="32">
        <f>P389/R389</f>
        <v>8.4951456310679616E-2</v>
      </c>
      <c r="V389" s="32">
        <f>Q389/R389</f>
        <v>0.66990291262135926</v>
      </c>
      <c r="W389" s="31">
        <f>P389/O389</f>
        <v>0.34653465346534651</v>
      </c>
      <c r="X389" s="31">
        <f>Q389/(O389+P389)</f>
        <v>2.0294117647058822</v>
      </c>
      <c r="Y389" s="65">
        <f>R389/R$488</f>
        <v>1.1968428911308712E-3</v>
      </c>
      <c r="Z389" s="30">
        <v>433</v>
      </c>
      <c r="AA389" s="30">
        <v>493</v>
      </c>
      <c r="AB389" s="29">
        <v>567</v>
      </c>
      <c r="AC389" s="34">
        <f>Z389/R389</f>
        <v>1.0509708737864079</v>
      </c>
      <c r="AD389" s="34">
        <f>AA389/Z389</f>
        <v>1.1385681293302541</v>
      </c>
      <c r="AE389" s="34">
        <f>AB389/AA389</f>
        <v>1.1501014198782962</v>
      </c>
      <c r="AF389" s="35">
        <f>AB389/R389</f>
        <v>1.3762135922330097</v>
      </c>
      <c r="AG389" s="29">
        <f>0.6*Z389+0.4*AA389</f>
        <v>457</v>
      </c>
      <c r="AH389" s="54">
        <v>2458</v>
      </c>
      <c r="AI389" s="59">
        <f>AH389/AG389</f>
        <v>5.3785557986870893</v>
      </c>
      <c r="AJ389" s="61">
        <f>AI389/AI$488</f>
        <v>1.1429663765384446</v>
      </c>
    </row>
    <row r="390" spans="1:36" ht="15" customHeight="1" x14ac:dyDescent="0.2">
      <c r="A390" s="27" t="s">
        <v>2</v>
      </c>
      <c r="B390" s="27"/>
      <c r="C390" s="27" t="s">
        <v>116</v>
      </c>
      <c r="D390" s="27">
        <v>32</v>
      </c>
      <c r="E390" s="27" t="s">
        <v>421</v>
      </c>
      <c r="F390" s="27"/>
      <c r="G390" s="27" t="s">
        <v>50</v>
      </c>
      <c r="H390" s="27">
        <v>7</v>
      </c>
      <c r="I390" s="27" t="s">
        <v>622</v>
      </c>
      <c r="J390" s="27">
        <v>8</v>
      </c>
      <c r="K390" s="27">
        <v>2</v>
      </c>
      <c r="L390" s="27">
        <v>78</v>
      </c>
      <c r="M390" s="29">
        <v>267</v>
      </c>
      <c r="N390" s="30">
        <v>298</v>
      </c>
      <c r="O390" s="30">
        <v>1422</v>
      </c>
      <c r="P390" s="30">
        <v>113</v>
      </c>
      <c r="Q390" s="30">
        <v>3</v>
      </c>
      <c r="R390" s="30">
        <v>1538</v>
      </c>
      <c r="S390" s="31">
        <f>R390/N390</f>
        <v>5.1610738255033555</v>
      </c>
      <c r="T390" s="32">
        <f>O390/R390</f>
        <v>0.92457737321196354</v>
      </c>
      <c r="U390" s="32">
        <f>P390/R390</f>
        <v>7.3472041612483746E-2</v>
      </c>
      <c r="V390" s="32">
        <f>Q390/R390</f>
        <v>1.9505851755526658E-3</v>
      </c>
      <c r="W390" s="31">
        <f>P390/O390</f>
        <v>7.9465541490857952E-2</v>
      </c>
      <c r="X390" s="31">
        <f>Q390/(O390+P390)</f>
        <v>1.9543973941368079E-3</v>
      </c>
      <c r="Y390" s="65">
        <f>R390/R$488</f>
        <v>4.4678261324254372E-3</v>
      </c>
      <c r="Z390" s="30">
        <v>1516</v>
      </c>
      <c r="AA390" s="30">
        <v>1878</v>
      </c>
      <c r="AB390" s="29">
        <v>1937</v>
      </c>
      <c r="AC390" s="34">
        <f>Z390/R390</f>
        <v>0.98569570871261381</v>
      </c>
      <c r="AD390" s="34">
        <f>AA390/Z390</f>
        <v>1.2387862796833773</v>
      </c>
      <c r="AE390" s="34">
        <f>AB390/AA390</f>
        <v>1.0314164004259851</v>
      </c>
      <c r="AF390" s="35">
        <f>AB390/R390</f>
        <v>1.2594278283485045</v>
      </c>
      <c r="AG390" s="29">
        <f>0.6*Z390+0.4*AA390</f>
        <v>1660.8000000000002</v>
      </c>
      <c r="AH390" s="54">
        <v>6240</v>
      </c>
      <c r="AI390" s="59">
        <f>AH390/AG390</f>
        <v>3.7572254335260111</v>
      </c>
      <c r="AJ390" s="61">
        <f>AI390/AI$488</f>
        <v>0.79842665955860759</v>
      </c>
    </row>
    <row r="391" spans="1:36" ht="15" customHeight="1" x14ac:dyDescent="0.2">
      <c r="A391" s="28" t="s">
        <v>166</v>
      </c>
      <c r="B391" s="28">
        <v>3</v>
      </c>
      <c r="C391" s="28" t="s">
        <v>107</v>
      </c>
      <c r="D391" s="28">
        <v>7</v>
      </c>
      <c r="E391" s="27"/>
      <c r="F391" s="27"/>
      <c r="G391" s="27" t="s">
        <v>336</v>
      </c>
      <c r="H391" s="27">
        <v>10</v>
      </c>
      <c r="I391" s="27" t="s">
        <v>618</v>
      </c>
      <c r="J391" s="27">
        <v>6</v>
      </c>
      <c r="K391" s="27">
        <v>7</v>
      </c>
      <c r="L391" s="27">
        <v>29</v>
      </c>
      <c r="M391" s="29">
        <v>41</v>
      </c>
      <c r="N391" s="30">
        <v>41</v>
      </c>
      <c r="O391" s="30">
        <v>133</v>
      </c>
      <c r="P391" s="30">
        <v>10</v>
      </c>
      <c r="Q391" s="30">
        <v>94</v>
      </c>
      <c r="R391" s="30">
        <v>237</v>
      </c>
      <c r="S391" s="31">
        <f>R391/N391</f>
        <v>5.7804878048780486</v>
      </c>
      <c r="T391" s="32">
        <f>O391/R391</f>
        <v>0.56118143459915615</v>
      </c>
      <c r="U391" s="32">
        <f>P391/R391</f>
        <v>4.2194092827004218E-2</v>
      </c>
      <c r="V391" s="32">
        <f>Q391/R391</f>
        <v>0.39662447257383965</v>
      </c>
      <c r="W391" s="31">
        <f>P391/O391</f>
        <v>7.5187969924812026E-2</v>
      </c>
      <c r="X391" s="31">
        <f>Q391/(O391+P391)</f>
        <v>0.65734265734265729</v>
      </c>
      <c r="Y391" s="65">
        <f>R391/R$488</f>
        <v>6.8847515824761285E-4</v>
      </c>
      <c r="Z391" s="30">
        <v>246</v>
      </c>
      <c r="AA391" s="30">
        <v>327</v>
      </c>
      <c r="AB391" s="29">
        <v>320</v>
      </c>
      <c r="AC391" s="34">
        <f>Z391/R391</f>
        <v>1.0379746835443038</v>
      </c>
      <c r="AD391" s="34">
        <f>AA391/Z391</f>
        <v>1.3292682926829269</v>
      </c>
      <c r="AE391" s="34">
        <f>AB391/AA391</f>
        <v>0.9785932721712538</v>
      </c>
      <c r="AF391" s="35">
        <f>AB391/R391</f>
        <v>1.350210970464135</v>
      </c>
      <c r="AG391" s="29">
        <f>0.6*Z391+0.4*AA391</f>
        <v>278.39999999999998</v>
      </c>
      <c r="AH391" s="54">
        <v>2825</v>
      </c>
      <c r="AI391" s="59">
        <f>AH391/AG391</f>
        <v>10.147270114942529</v>
      </c>
      <c r="AJ391" s="61">
        <f>AI391/AI$488</f>
        <v>2.1563387996948529</v>
      </c>
    </row>
    <row r="392" spans="1:36" ht="15" customHeight="1" x14ac:dyDescent="0.2">
      <c r="A392" s="28" t="s">
        <v>72</v>
      </c>
      <c r="B392" s="28"/>
      <c r="C392" s="27" t="s">
        <v>116</v>
      </c>
      <c r="D392" s="27">
        <v>32</v>
      </c>
      <c r="E392" s="27"/>
      <c r="F392" s="27"/>
      <c r="G392" s="27" t="s">
        <v>172</v>
      </c>
      <c r="H392" s="27">
        <v>1</v>
      </c>
      <c r="I392" s="27" t="s">
        <v>618</v>
      </c>
      <c r="J392" s="27">
        <v>6</v>
      </c>
      <c r="K392" s="27">
        <v>6</v>
      </c>
      <c r="L392" s="27">
        <v>65</v>
      </c>
      <c r="M392" s="29">
        <v>54</v>
      </c>
      <c r="N392" s="30">
        <v>62</v>
      </c>
      <c r="O392" s="30">
        <v>111</v>
      </c>
      <c r="P392" s="30">
        <v>80</v>
      </c>
      <c r="Q392" s="30">
        <v>127</v>
      </c>
      <c r="R392" s="30">
        <v>318</v>
      </c>
      <c r="S392" s="31">
        <f>R392/N392</f>
        <v>5.129032258064516</v>
      </c>
      <c r="T392" s="32">
        <f>O392/R392</f>
        <v>0.34905660377358488</v>
      </c>
      <c r="U392" s="32">
        <f>P392/R392</f>
        <v>0.25157232704402516</v>
      </c>
      <c r="V392" s="32">
        <f>Q392/R392</f>
        <v>0.39937106918238996</v>
      </c>
      <c r="W392" s="31">
        <f>P392/O392</f>
        <v>0.72072072072072069</v>
      </c>
      <c r="X392" s="31">
        <f>Q392/(O392+P392)</f>
        <v>0.66492146596858637</v>
      </c>
      <c r="Y392" s="65">
        <f>R392/R$488</f>
        <v>9.2377679461072104E-4</v>
      </c>
      <c r="Z392" s="30">
        <v>261</v>
      </c>
      <c r="AA392" s="30">
        <v>339</v>
      </c>
      <c r="AB392" s="29">
        <v>391</v>
      </c>
      <c r="AC392" s="34">
        <f>Z392/R392</f>
        <v>0.82075471698113212</v>
      </c>
      <c r="AD392" s="34">
        <f>AA392/Z392</f>
        <v>1.2988505747126438</v>
      </c>
      <c r="AE392" s="34">
        <f>AB392/AA392</f>
        <v>1.1533923303834808</v>
      </c>
      <c r="AF392" s="35">
        <f>AB392/R392</f>
        <v>1.229559748427673</v>
      </c>
      <c r="AG392" s="29">
        <f>0.6*Z392+0.4*AA392</f>
        <v>292.2</v>
      </c>
      <c r="AH392" s="54">
        <v>2275</v>
      </c>
      <c r="AI392" s="59">
        <f>AH392/AG392</f>
        <v>7.7857631759069132</v>
      </c>
      <c r="AJ392" s="61">
        <f>AI392/AI$488</f>
        <v>1.6545083585309273</v>
      </c>
    </row>
    <row r="393" spans="1:36" ht="15" customHeight="1" x14ac:dyDescent="0.2">
      <c r="A393" s="28" t="s">
        <v>24</v>
      </c>
      <c r="B393" s="28"/>
      <c r="C393" s="28" t="s">
        <v>116</v>
      </c>
      <c r="D393" s="27">
        <v>32</v>
      </c>
      <c r="E393" s="27"/>
      <c r="F393" s="27"/>
      <c r="G393" s="27" t="s">
        <v>50</v>
      </c>
      <c r="H393" s="27">
        <v>7</v>
      </c>
      <c r="I393" s="27" t="s">
        <v>622</v>
      </c>
      <c r="J393" s="27">
        <v>8</v>
      </c>
      <c r="K393" s="27">
        <v>2</v>
      </c>
      <c r="L393" s="27">
        <v>77</v>
      </c>
      <c r="M393" s="29">
        <v>51</v>
      </c>
      <c r="N393" s="30">
        <v>76</v>
      </c>
      <c r="O393" s="30">
        <v>155</v>
      </c>
      <c r="P393" s="30">
        <v>18</v>
      </c>
      <c r="Q393" s="30">
        <v>160</v>
      </c>
      <c r="R393" s="30">
        <v>333</v>
      </c>
      <c r="S393" s="31">
        <f>R393/N393</f>
        <v>4.3815789473684212</v>
      </c>
      <c r="T393" s="32">
        <f>O393/R393</f>
        <v>0.46546546546546547</v>
      </c>
      <c r="U393" s="32">
        <f>P393/R393</f>
        <v>5.4054054054054057E-2</v>
      </c>
      <c r="V393" s="32">
        <f>Q393/R393</f>
        <v>0.48048048048048048</v>
      </c>
      <c r="W393" s="31">
        <f>P393/O393</f>
        <v>0.11612903225806452</v>
      </c>
      <c r="X393" s="31">
        <f>Q393/(O393+P393)</f>
        <v>0.92485549132947975</v>
      </c>
      <c r="Y393" s="65">
        <f>R393/R$488</f>
        <v>9.6735117171500038E-4</v>
      </c>
      <c r="Z393" s="30">
        <v>400</v>
      </c>
      <c r="AA393" s="30">
        <v>398</v>
      </c>
      <c r="AB393" s="29">
        <v>423</v>
      </c>
      <c r="AC393" s="34">
        <f>Z393/R393</f>
        <v>1.2012012012012012</v>
      </c>
      <c r="AD393" s="34">
        <f>AA393/Z393</f>
        <v>0.995</v>
      </c>
      <c r="AE393" s="34">
        <f>AB393/AA393</f>
        <v>1.0628140703517588</v>
      </c>
      <c r="AF393" s="35">
        <f>AB393/R393</f>
        <v>1.2702702702702702</v>
      </c>
      <c r="AG393" s="29">
        <f>0.6*Z393+0.4*AA393</f>
        <v>399.20000000000005</v>
      </c>
      <c r="AH393" s="54">
        <v>1770</v>
      </c>
      <c r="AI393" s="59">
        <f>AH393/AG393</f>
        <v>4.4338677354709413</v>
      </c>
      <c r="AJ393" s="61">
        <f>AI393/AI$488</f>
        <v>0.94221607608848945</v>
      </c>
    </row>
    <row r="394" spans="1:36" ht="15" customHeight="1" x14ac:dyDescent="0.2">
      <c r="A394" s="28" t="s">
        <v>578</v>
      </c>
      <c r="B394" s="28"/>
      <c r="C394" s="28" t="s">
        <v>115</v>
      </c>
      <c r="D394" s="28">
        <v>22</v>
      </c>
      <c r="E394" s="27"/>
      <c r="F394" s="27"/>
      <c r="G394" s="27" t="s">
        <v>431</v>
      </c>
      <c r="H394" s="27">
        <v>21</v>
      </c>
      <c r="I394" s="27" t="s">
        <v>539</v>
      </c>
      <c r="J394" s="27">
        <v>2</v>
      </c>
      <c r="K394" s="27">
        <v>4</v>
      </c>
      <c r="L394" s="27">
        <v>81</v>
      </c>
      <c r="M394" s="29">
        <v>78</v>
      </c>
      <c r="N394" s="30">
        <v>86</v>
      </c>
      <c r="O394" s="30">
        <v>138</v>
      </c>
      <c r="P394" s="30">
        <v>36</v>
      </c>
      <c r="Q394" s="30">
        <v>370</v>
      </c>
      <c r="R394" s="30">
        <v>544</v>
      </c>
      <c r="S394" s="31">
        <f>R394/N394</f>
        <v>6.3255813953488369</v>
      </c>
      <c r="T394" s="32">
        <f>O394/R394</f>
        <v>0.25367647058823528</v>
      </c>
      <c r="U394" s="32">
        <f>P394/R394</f>
        <v>6.6176470588235295E-2</v>
      </c>
      <c r="V394" s="32">
        <f>Q394/R394</f>
        <v>0.68014705882352944</v>
      </c>
      <c r="W394" s="31">
        <f>P394/O394</f>
        <v>0.2608695652173913</v>
      </c>
      <c r="X394" s="31">
        <f>Q394/(O394+P394)</f>
        <v>2.1264367816091956</v>
      </c>
      <c r="Y394" s="65">
        <f>R394/R$488</f>
        <v>1.5802974096485291E-3</v>
      </c>
      <c r="Z394" s="30">
        <v>621</v>
      </c>
      <c r="AA394" s="30">
        <v>689</v>
      </c>
      <c r="AB394" s="29">
        <v>669</v>
      </c>
      <c r="AC394" s="34">
        <f>Z394/R394</f>
        <v>1.1415441176470589</v>
      </c>
      <c r="AD394" s="34">
        <f>AA394/Z394</f>
        <v>1.1095008051529791</v>
      </c>
      <c r="AE394" s="34">
        <f>AB394/AA394</f>
        <v>0.97097242380261251</v>
      </c>
      <c r="AF394" s="35">
        <f>AB394/R394</f>
        <v>1.2297794117647058</v>
      </c>
      <c r="AG394" s="29">
        <f>0.6*Z394+0.4*AA394</f>
        <v>648.20000000000005</v>
      </c>
      <c r="AH394" s="54">
        <v>5653</v>
      </c>
      <c r="AI394" s="59">
        <f>AH394/AG394</f>
        <v>8.7210737426720151</v>
      </c>
      <c r="AJ394" s="61">
        <f>AI394/AI$488</f>
        <v>1.8532659004150476</v>
      </c>
    </row>
    <row r="395" spans="1:36" ht="15" customHeight="1" x14ac:dyDescent="0.2">
      <c r="A395" s="27" t="s">
        <v>472</v>
      </c>
      <c r="B395" s="27"/>
      <c r="C395" s="28" t="s">
        <v>117</v>
      </c>
      <c r="D395" s="28">
        <v>3</v>
      </c>
      <c r="E395" s="27"/>
      <c r="F395" s="27"/>
      <c r="G395" s="27" t="s">
        <v>429</v>
      </c>
      <c r="H395" s="27">
        <v>26</v>
      </c>
      <c r="I395" s="27" t="s">
        <v>619</v>
      </c>
      <c r="J395" s="27">
        <v>9</v>
      </c>
      <c r="K395" s="27">
        <v>3</v>
      </c>
      <c r="L395" s="27">
        <v>44</v>
      </c>
      <c r="M395" s="29">
        <v>36</v>
      </c>
      <c r="N395" s="30">
        <v>36</v>
      </c>
      <c r="O395" s="30">
        <v>182</v>
      </c>
      <c r="P395" s="30">
        <v>5</v>
      </c>
      <c r="Q395" s="30">
        <v>0</v>
      </c>
      <c r="R395" s="30">
        <v>187</v>
      </c>
      <c r="S395" s="31">
        <f>R395/N395</f>
        <v>5.1944444444444446</v>
      </c>
      <c r="T395" s="32">
        <f>O395/R395</f>
        <v>0.9732620320855615</v>
      </c>
      <c r="U395" s="32">
        <f>P395/R395</f>
        <v>2.6737967914438502E-2</v>
      </c>
      <c r="V395" s="32">
        <f>Q395/R395</f>
        <v>0</v>
      </c>
      <c r="W395" s="31">
        <f>P395/O395</f>
        <v>2.7472527472527472E-2</v>
      </c>
      <c r="X395" s="31">
        <f>Q395/(O395+P395)</f>
        <v>0</v>
      </c>
      <c r="Y395" s="65">
        <f>R395/R$488</f>
        <v>5.4322723456668191E-4</v>
      </c>
      <c r="Z395" s="30">
        <v>273</v>
      </c>
      <c r="AA395" s="30">
        <v>301</v>
      </c>
      <c r="AB395" s="29">
        <v>357</v>
      </c>
      <c r="AC395" s="34">
        <f>Z395/R395</f>
        <v>1.4598930481283423</v>
      </c>
      <c r="AD395" s="34">
        <f>AA395/Z395</f>
        <v>1.1025641025641026</v>
      </c>
      <c r="AE395" s="34">
        <f>AB395/AA395</f>
        <v>1.1860465116279071</v>
      </c>
      <c r="AF395" s="35">
        <f>AB395/R395</f>
        <v>1.9090909090909092</v>
      </c>
      <c r="AG395" s="29">
        <f>0.6*Z395+0.4*AA395</f>
        <v>284.2</v>
      </c>
      <c r="AH395" s="54">
        <v>1107</v>
      </c>
      <c r="AI395" s="59">
        <f>AH395/AG395</f>
        <v>3.895144264602393</v>
      </c>
      <c r="AJ395" s="61">
        <f>AI395/AI$488</f>
        <v>0.82773500784241072</v>
      </c>
    </row>
    <row r="396" spans="1:36" ht="15" customHeight="1" x14ac:dyDescent="0.2">
      <c r="A396" s="27" t="s">
        <v>382</v>
      </c>
      <c r="B396" s="27"/>
      <c r="C396" s="27" t="s">
        <v>327</v>
      </c>
      <c r="D396" s="27">
        <v>12</v>
      </c>
      <c r="E396" s="27"/>
      <c r="F396" s="27"/>
      <c r="G396" s="27" t="s">
        <v>427</v>
      </c>
      <c r="H396" s="27">
        <v>23</v>
      </c>
      <c r="I396" s="27" t="s">
        <v>619</v>
      </c>
      <c r="J396" s="27">
        <v>9</v>
      </c>
      <c r="K396" s="27">
        <v>2</v>
      </c>
      <c r="L396" s="27">
        <v>71</v>
      </c>
      <c r="M396" s="29">
        <v>105</v>
      </c>
      <c r="N396" s="30">
        <v>105</v>
      </c>
      <c r="O396" s="30">
        <v>398</v>
      </c>
      <c r="P396" s="30">
        <v>27</v>
      </c>
      <c r="Q396" s="30">
        <v>122</v>
      </c>
      <c r="R396" s="30">
        <v>547</v>
      </c>
      <c r="S396" s="31">
        <f>R396/N396</f>
        <v>5.2095238095238097</v>
      </c>
      <c r="T396" s="32">
        <f>O396/R396</f>
        <v>0.72760511882998169</v>
      </c>
      <c r="U396" s="32">
        <f>P396/R396</f>
        <v>4.9360146252285193E-2</v>
      </c>
      <c r="V396" s="32">
        <f>Q396/R396</f>
        <v>0.2230347349177331</v>
      </c>
      <c r="W396" s="31">
        <f>P396/O396</f>
        <v>6.78391959798995E-2</v>
      </c>
      <c r="X396" s="31">
        <f>Q396/(O396+P396)</f>
        <v>0.28705882352941176</v>
      </c>
      <c r="Y396" s="65">
        <f>R396/R$488</f>
        <v>1.5890122850693849E-3</v>
      </c>
      <c r="Z396" s="30">
        <v>566</v>
      </c>
      <c r="AA396" s="30">
        <v>786</v>
      </c>
      <c r="AB396" s="29">
        <v>894</v>
      </c>
      <c r="AC396" s="34">
        <f>Z396/R396</f>
        <v>1.0347349177330896</v>
      </c>
      <c r="AD396" s="34">
        <f>AA396/Z396</f>
        <v>1.3886925795053005</v>
      </c>
      <c r="AE396" s="34">
        <f>AB396/AA396</f>
        <v>1.1374045801526718</v>
      </c>
      <c r="AF396" s="35">
        <f>AB396/R396</f>
        <v>1.6343692870201096</v>
      </c>
      <c r="AG396" s="29">
        <f>0.6*Z396+0.4*AA396</f>
        <v>654</v>
      </c>
      <c r="AH396" s="54">
        <v>2189</v>
      </c>
      <c r="AI396" s="59">
        <f>AH396/AG396</f>
        <v>3.3470948012232418</v>
      </c>
      <c r="AJ396" s="61">
        <f>AI396/AI$488</f>
        <v>0.71127212584066357</v>
      </c>
    </row>
    <row r="397" spans="1:36" ht="15" customHeight="1" x14ac:dyDescent="0.2">
      <c r="A397" s="50" t="s">
        <v>545</v>
      </c>
      <c r="B397" s="28"/>
      <c r="C397" s="27" t="s">
        <v>35</v>
      </c>
      <c r="D397" s="27">
        <v>11</v>
      </c>
      <c r="E397" s="27"/>
      <c r="F397" s="27"/>
      <c r="G397" s="27" t="s">
        <v>106</v>
      </c>
      <c r="H397" s="27">
        <v>12</v>
      </c>
      <c r="I397" s="27" t="s">
        <v>111</v>
      </c>
      <c r="J397" s="27">
        <v>5</v>
      </c>
      <c r="K397" s="27">
        <v>6</v>
      </c>
      <c r="L397" s="27" t="s">
        <v>440</v>
      </c>
      <c r="M397" s="30"/>
      <c r="N397" s="30"/>
      <c r="O397" s="30"/>
      <c r="P397" s="30"/>
      <c r="Q397" s="30"/>
      <c r="R397" s="30"/>
      <c r="S397" s="27"/>
      <c r="T397" s="27"/>
      <c r="U397" s="27"/>
      <c r="V397" s="27"/>
      <c r="W397" s="27"/>
      <c r="X397" s="31"/>
      <c r="Y397" s="65"/>
      <c r="Z397" s="30"/>
      <c r="AA397" s="30"/>
      <c r="AB397" s="30"/>
      <c r="AC397" s="34"/>
      <c r="AD397" s="34"/>
      <c r="AE397" s="34"/>
      <c r="AF397" s="35"/>
      <c r="AG397" s="29"/>
      <c r="AH397" s="54"/>
      <c r="AI397" s="59"/>
      <c r="AJ397" s="61"/>
    </row>
    <row r="398" spans="1:36" ht="15" customHeight="1" x14ac:dyDescent="0.2">
      <c r="A398" s="27" t="s">
        <v>28</v>
      </c>
      <c r="B398" s="27"/>
      <c r="C398" s="27" t="s">
        <v>113</v>
      </c>
      <c r="D398" s="28">
        <v>16</v>
      </c>
      <c r="E398" s="27"/>
      <c r="F398" s="27" t="s">
        <v>481</v>
      </c>
      <c r="G398" s="27" t="s">
        <v>73</v>
      </c>
      <c r="H398" s="27">
        <v>11</v>
      </c>
      <c r="I398" s="27" t="s">
        <v>624</v>
      </c>
      <c r="J398" s="27">
        <v>4</v>
      </c>
      <c r="K398" s="27">
        <v>4</v>
      </c>
      <c r="L398" s="27">
        <v>98</v>
      </c>
      <c r="M398" s="29">
        <v>190</v>
      </c>
      <c r="N398" s="30">
        <v>217</v>
      </c>
      <c r="O398" s="30">
        <v>416</v>
      </c>
      <c r="P398" s="30">
        <v>303</v>
      </c>
      <c r="Q398" s="30">
        <v>334</v>
      </c>
      <c r="R398" s="30">
        <v>1053</v>
      </c>
      <c r="S398" s="31">
        <f>R398/N398</f>
        <v>4.8525345622119813</v>
      </c>
      <c r="T398" s="32">
        <f>O398/R398</f>
        <v>0.39506172839506171</v>
      </c>
      <c r="U398" s="32">
        <f>P398/R398</f>
        <v>0.28774928774928776</v>
      </c>
      <c r="V398" s="32">
        <f>Q398/R398</f>
        <v>0.31718898385565053</v>
      </c>
      <c r="W398" s="31">
        <f>P398/O398</f>
        <v>0.72836538461538458</v>
      </c>
      <c r="X398" s="31">
        <f>Q398/(O398+P398)</f>
        <v>0.46453407510431155</v>
      </c>
      <c r="Y398" s="65">
        <f>R398/R$488</f>
        <v>3.0589212727204066E-3</v>
      </c>
      <c r="Z398" s="30">
        <v>1001</v>
      </c>
      <c r="AA398" s="30">
        <v>1042</v>
      </c>
      <c r="AB398" s="29">
        <v>1055</v>
      </c>
      <c r="AC398" s="34">
        <f>Z398/R398</f>
        <v>0.95061728395061729</v>
      </c>
      <c r="AD398" s="34">
        <f>AA398/Z398</f>
        <v>1.040959040959041</v>
      </c>
      <c r="AE398" s="34">
        <f>AB398/AA398</f>
        <v>1.0124760076775432</v>
      </c>
      <c r="AF398" s="35">
        <f>AB398/R398</f>
        <v>1.0018993352326686</v>
      </c>
      <c r="AG398" s="29">
        <f>0.6*Z398+0.4*AA398</f>
        <v>1017.4000000000001</v>
      </c>
      <c r="AH398" s="54">
        <v>9085</v>
      </c>
      <c r="AI398" s="59">
        <f>AH398/AG398</f>
        <v>8.929624533123647</v>
      </c>
      <c r="AJ398" s="61">
        <f>AI398/AI$488</f>
        <v>1.8975838456420759</v>
      </c>
    </row>
    <row r="399" spans="1:36" ht="15" customHeight="1" x14ac:dyDescent="0.2">
      <c r="A399" s="27" t="s">
        <v>469</v>
      </c>
      <c r="B399" s="27"/>
      <c r="C399" s="27" t="s">
        <v>438</v>
      </c>
      <c r="D399" s="27">
        <v>99</v>
      </c>
      <c r="E399" s="27"/>
      <c r="F399" s="27"/>
      <c r="G399" s="27" t="s">
        <v>598</v>
      </c>
      <c r="H399" s="27">
        <v>99</v>
      </c>
      <c r="I399" s="27" t="s">
        <v>618</v>
      </c>
      <c r="J399" s="27">
        <v>6</v>
      </c>
      <c r="K399" s="27" t="s">
        <v>442</v>
      </c>
      <c r="L399" s="27" t="s">
        <v>440</v>
      </c>
      <c r="M399" s="30"/>
      <c r="N399" s="30"/>
      <c r="O399" s="30"/>
      <c r="P399" s="30"/>
      <c r="Q399" s="30"/>
      <c r="R399" s="30">
        <v>988</v>
      </c>
      <c r="S399" s="27"/>
      <c r="T399" s="27"/>
      <c r="U399" s="27"/>
      <c r="V399" s="27"/>
      <c r="W399" s="27"/>
      <c r="X399" s="31"/>
      <c r="Y399" s="65"/>
      <c r="Z399" s="30">
        <v>1045</v>
      </c>
      <c r="AA399" s="30">
        <v>1147</v>
      </c>
      <c r="AB399" s="30">
        <v>1206</v>
      </c>
      <c r="AC399" s="34">
        <f>Z399/R399</f>
        <v>1.0576923076923077</v>
      </c>
      <c r="AD399" s="34">
        <f>AA399/Z399</f>
        <v>1.0976076555023924</v>
      </c>
      <c r="AE399" s="34">
        <f>AB399/AA399</f>
        <v>1.051438535309503</v>
      </c>
      <c r="AF399" s="35">
        <f>AB399/R399</f>
        <v>1.2206477732793521</v>
      </c>
      <c r="AG399" s="29">
        <f>0.6*Z399+0.4*AA399</f>
        <v>1085.8</v>
      </c>
      <c r="AH399" s="66">
        <v>5707</v>
      </c>
      <c r="AI399" s="59">
        <f>AH399/AG399</f>
        <v>5.2560324184932767</v>
      </c>
      <c r="AJ399" s="61">
        <f>AI399/AI$488</f>
        <v>1.1169296281727312</v>
      </c>
    </row>
    <row r="400" spans="1:36" ht="15" customHeight="1" x14ac:dyDescent="0.2">
      <c r="A400" s="28" t="s">
        <v>293</v>
      </c>
      <c r="B400" s="28"/>
      <c r="C400" s="28" t="s">
        <v>124</v>
      </c>
      <c r="D400" s="28">
        <v>30</v>
      </c>
      <c r="E400" s="27"/>
      <c r="F400" s="27"/>
      <c r="G400" s="27" t="s">
        <v>201</v>
      </c>
      <c r="H400" s="27">
        <v>3</v>
      </c>
      <c r="I400" s="27" t="s">
        <v>621</v>
      </c>
      <c r="J400" s="27">
        <v>7</v>
      </c>
      <c r="K400" s="27">
        <v>2</v>
      </c>
      <c r="L400" s="27">
        <v>72</v>
      </c>
      <c r="M400" s="29">
        <v>21</v>
      </c>
      <c r="N400" s="30">
        <v>21</v>
      </c>
      <c r="O400" s="30">
        <v>93</v>
      </c>
      <c r="P400" s="30">
        <v>18</v>
      </c>
      <c r="Q400" s="30">
        <v>5</v>
      </c>
      <c r="R400" s="30">
        <v>116</v>
      </c>
      <c r="S400" s="31">
        <f>R400/N400</f>
        <v>5.5238095238095237</v>
      </c>
      <c r="T400" s="32">
        <f>O400/R400</f>
        <v>0.80172413793103448</v>
      </c>
      <c r="U400" s="32">
        <f>P400/R400</f>
        <v>0.15517241379310345</v>
      </c>
      <c r="V400" s="32">
        <f>Q400/R400</f>
        <v>4.3103448275862072E-2</v>
      </c>
      <c r="W400" s="31">
        <f>P400/O400</f>
        <v>0.19354838709677419</v>
      </c>
      <c r="X400" s="31">
        <f>Q400/(O400+P400)</f>
        <v>4.5045045045045043E-2</v>
      </c>
      <c r="Y400" s="65">
        <f>R400/R$488</f>
        <v>3.3697518293975985E-4</v>
      </c>
      <c r="Z400" s="33">
        <v>128</v>
      </c>
      <c r="AA400" s="33">
        <v>127</v>
      </c>
      <c r="AB400" s="29">
        <v>144</v>
      </c>
      <c r="AC400" s="34">
        <f>Z400/R400</f>
        <v>1.103448275862069</v>
      </c>
      <c r="AD400" s="34">
        <f>AA400/Z400</f>
        <v>0.9921875</v>
      </c>
      <c r="AE400" s="34">
        <f>AB400/AA400</f>
        <v>1.1338582677165354</v>
      </c>
      <c r="AF400" s="35">
        <f>AB400/R400</f>
        <v>1.2413793103448276</v>
      </c>
      <c r="AG400" s="29">
        <f>0.6*Z400+0.4*AA400</f>
        <v>127.6</v>
      </c>
      <c r="AH400" s="54">
        <v>994</v>
      </c>
      <c r="AI400" s="59">
        <f>AH400/AG400</f>
        <v>7.7899686520376177</v>
      </c>
      <c r="AJ400" s="61">
        <f>AI400/AI$488</f>
        <v>1.6554020404029093</v>
      </c>
    </row>
    <row r="401" spans="1:36" ht="15" customHeight="1" x14ac:dyDescent="0.2">
      <c r="A401" s="28" t="s">
        <v>294</v>
      </c>
      <c r="B401" s="28"/>
      <c r="C401" s="28" t="s">
        <v>124</v>
      </c>
      <c r="D401" s="28">
        <v>30</v>
      </c>
      <c r="E401" s="27"/>
      <c r="F401" s="27"/>
      <c r="G401" s="27" t="s">
        <v>201</v>
      </c>
      <c r="H401" s="27">
        <v>3</v>
      </c>
      <c r="I401" s="27" t="s">
        <v>621</v>
      </c>
      <c r="J401" s="27">
        <v>7</v>
      </c>
      <c r="K401" s="27">
        <v>6</v>
      </c>
      <c r="L401" s="27">
        <v>60</v>
      </c>
      <c r="M401" s="29">
        <v>41</v>
      </c>
      <c r="N401" s="30">
        <v>46</v>
      </c>
      <c r="O401" s="30">
        <v>83</v>
      </c>
      <c r="P401" s="30">
        <v>53</v>
      </c>
      <c r="Q401" s="30">
        <v>60</v>
      </c>
      <c r="R401" s="30">
        <v>196</v>
      </c>
      <c r="S401" s="31">
        <f>R401/N401</f>
        <v>4.2608695652173916</v>
      </c>
      <c r="T401" s="32">
        <f>O401/R401</f>
        <v>0.42346938775510207</v>
      </c>
      <c r="U401" s="32">
        <f>P401/R401</f>
        <v>0.27040816326530615</v>
      </c>
      <c r="V401" s="32">
        <f>Q401/R401</f>
        <v>0.30612244897959184</v>
      </c>
      <c r="W401" s="31">
        <f>P401/O401</f>
        <v>0.63855421686746983</v>
      </c>
      <c r="X401" s="31">
        <f>Q401/(O401+P401)</f>
        <v>0.44117647058823528</v>
      </c>
      <c r="Y401" s="65">
        <f>R401/R$488</f>
        <v>5.693718608292494E-4</v>
      </c>
      <c r="Z401" s="33">
        <v>212</v>
      </c>
      <c r="AA401" s="33">
        <v>226</v>
      </c>
      <c r="AB401" s="29">
        <v>238</v>
      </c>
      <c r="AC401" s="34">
        <f>Z401/R401</f>
        <v>1.0816326530612246</v>
      </c>
      <c r="AD401" s="34">
        <f>AA401/Z401</f>
        <v>1.0660377358490567</v>
      </c>
      <c r="AE401" s="34">
        <f>AB401/AA401</f>
        <v>1.0530973451327434</v>
      </c>
      <c r="AF401" s="35">
        <f>AB401/R401</f>
        <v>1.2142857142857142</v>
      </c>
      <c r="AG401" s="29">
        <f>0.6*Z401+0.4*AA401</f>
        <v>217.6</v>
      </c>
      <c r="AH401" s="54">
        <v>1199</v>
      </c>
      <c r="AI401" s="59">
        <f>AH401/AG401</f>
        <v>5.5101102941176476</v>
      </c>
      <c r="AJ401" s="61">
        <f>AI401/AI$488</f>
        <v>1.1709222759634004</v>
      </c>
    </row>
    <row r="402" spans="1:36" ht="15" customHeight="1" x14ac:dyDescent="0.2">
      <c r="A402" s="27" t="s">
        <v>318</v>
      </c>
      <c r="B402" s="27"/>
      <c r="C402" s="27" t="s">
        <v>116</v>
      </c>
      <c r="D402" s="27">
        <v>32</v>
      </c>
      <c r="E402" s="27"/>
      <c r="F402" s="27"/>
      <c r="G402" s="27" t="s">
        <v>172</v>
      </c>
      <c r="H402" s="27">
        <v>1</v>
      </c>
      <c r="I402" s="27" t="s">
        <v>618</v>
      </c>
      <c r="J402" s="27">
        <v>6</v>
      </c>
      <c r="K402" s="27">
        <v>6</v>
      </c>
      <c r="L402" s="27">
        <v>64</v>
      </c>
      <c r="M402" s="29">
        <v>47</v>
      </c>
      <c r="N402" s="30">
        <v>60</v>
      </c>
      <c r="O402" s="30">
        <v>109</v>
      </c>
      <c r="P402" s="30">
        <v>17</v>
      </c>
      <c r="Q402" s="30">
        <v>128</v>
      </c>
      <c r="R402" s="30">
        <v>254</v>
      </c>
      <c r="S402" s="31">
        <f>R402/N402</f>
        <v>4.2333333333333334</v>
      </c>
      <c r="T402" s="32">
        <f>O402/R402</f>
        <v>0.42913385826771655</v>
      </c>
      <c r="U402" s="32">
        <f>P402/R402</f>
        <v>6.6929133858267723E-2</v>
      </c>
      <c r="V402" s="32">
        <f>Q402/R402</f>
        <v>0.50393700787401574</v>
      </c>
      <c r="W402" s="31">
        <f>P402/O402</f>
        <v>0.15596330275229359</v>
      </c>
      <c r="X402" s="31">
        <f>Q402/(O402+P402)</f>
        <v>1.0158730158730158</v>
      </c>
      <c r="Y402" s="65">
        <f>R402/R$488</f>
        <v>7.3785945229912935E-4</v>
      </c>
      <c r="Z402" s="33">
        <v>285</v>
      </c>
      <c r="AA402" s="33">
        <v>337</v>
      </c>
      <c r="AB402" s="29">
        <v>446</v>
      </c>
      <c r="AC402" s="34">
        <f>Z402/R402</f>
        <v>1.1220472440944882</v>
      </c>
      <c r="AD402" s="34">
        <f>AA402/Z402</f>
        <v>1.1824561403508771</v>
      </c>
      <c r="AE402" s="34">
        <f>AB402/AA402</f>
        <v>1.3234421364985163</v>
      </c>
      <c r="AF402" s="35">
        <f>AB402/R402</f>
        <v>1.7559055118110236</v>
      </c>
      <c r="AG402" s="29">
        <f>0.6*Z402+0.4*AA402</f>
        <v>305.8</v>
      </c>
      <c r="AH402" s="54">
        <v>2353</v>
      </c>
      <c r="AI402" s="59">
        <f>AH402/AG402</f>
        <v>7.6945716154349242</v>
      </c>
      <c r="AJ402" s="61">
        <f>AI402/AI$488</f>
        <v>1.6351297574073695</v>
      </c>
    </row>
    <row r="403" spans="1:36" ht="15" customHeight="1" x14ac:dyDescent="0.2">
      <c r="A403" s="28" t="s">
        <v>589</v>
      </c>
      <c r="B403" s="28"/>
      <c r="C403" s="28" t="s">
        <v>115</v>
      </c>
      <c r="D403" s="28">
        <v>22</v>
      </c>
      <c r="E403" s="27"/>
      <c r="F403" s="27" t="s">
        <v>478</v>
      </c>
      <c r="G403" s="27" t="s">
        <v>431</v>
      </c>
      <c r="H403" s="27">
        <v>21</v>
      </c>
      <c r="I403" s="27" t="s">
        <v>539</v>
      </c>
      <c r="J403" s="27">
        <v>2</v>
      </c>
      <c r="K403" s="27">
        <v>4</v>
      </c>
      <c r="L403" s="27">
        <v>82</v>
      </c>
      <c r="M403" s="37">
        <v>2352</v>
      </c>
      <c r="N403" s="30">
        <v>5970</v>
      </c>
      <c r="O403" s="30">
        <v>750</v>
      </c>
      <c r="P403" s="30">
        <v>3650</v>
      </c>
      <c r="Q403" s="30">
        <v>19347</v>
      </c>
      <c r="R403" s="30">
        <v>23747</v>
      </c>
      <c r="S403" s="31">
        <f>R403/N403</f>
        <v>3.9777219430485764</v>
      </c>
      <c r="T403" s="32">
        <f>O403/R403</f>
        <v>3.1582936792015834E-2</v>
      </c>
      <c r="U403" s="32">
        <f>P403/R403</f>
        <v>0.15370362572114371</v>
      </c>
      <c r="V403" s="32">
        <f>Q403/R403</f>
        <v>0.81471343748684044</v>
      </c>
      <c r="W403" s="31">
        <f>P403/O403</f>
        <v>4.8666666666666663</v>
      </c>
      <c r="X403" s="31">
        <f>Q403/(O403+P403)</f>
        <v>4.3970454545454549</v>
      </c>
      <c r="Y403" s="65">
        <f>R403/R$488</f>
        <v>6.8984048873021356E-2</v>
      </c>
      <c r="Z403" s="29">
        <v>30083</v>
      </c>
      <c r="AA403" s="29">
        <v>33578</v>
      </c>
      <c r="AB403" s="29">
        <v>34883</v>
      </c>
      <c r="AC403" s="34">
        <f>Z403/R403</f>
        <v>1.2668126500189498</v>
      </c>
      <c r="AD403" s="34">
        <f>AA403/Z403</f>
        <v>1.1161785726157631</v>
      </c>
      <c r="AE403" s="34">
        <f>AB403/AA403</f>
        <v>1.0388647328608016</v>
      </c>
      <c r="AF403" s="35">
        <f>AB403/R403</f>
        <v>1.4689434454878512</v>
      </c>
      <c r="AG403" s="29">
        <f>0.6*Z403+0.4*AA403</f>
        <v>31481</v>
      </c>
      <c r="AH403" s="54">
        <v>95701</v>
      </c>
      <c r="AI403" s="59">
        <f>AH403/AG403</f>
        <v>3.0399606111622886</v>
      </c>
      <c r="AJ403" s="61">
        <f>AI403/AI$488</f>
        <v>0.64600478169398245</v>
      </c>
    </row>
    <row r="404" spans="1:36" ht="15" customHeight="1" x14ac:dyDescent="0.2">
      <c r="A404" s="28" t="s">
        <v>157</v>
      </c>
      <c r="B404" s="28"/>
      <c r="C404" s="28" t="s">
        <v>112</v>
      </c>
      <c r="D404" s="28">
        <v>6</v>
      </c>
      <c r="E404" s="27"/>
      <c r="F404" s="27"/>
      <c r="G404" s="27" t="s">
        <v>26</v>
      </c>
      <c r="H404" s="27">
        <v>24</v>
      </c>
      <c r="I404" s="27" t="s">
        <v>624</v>
      </c>
      <c r="J404" s="27">
        <v>4</v>
      </c>
      <c r="K404" s="27">
        <v>4</v>
      </c>
      <c r="L404" s="27">
        <v>93</v>
      </c>
      <c r="M404" s="29">
        <v>111</v>
      </c>
      <c r="N404" s="30">
        <v>116</v>
      </c>
      <c r="O404" s="30">
        <v>212</v>
      </c>
      <c r="P404" s="30">
        <v>59</v>
      </c>
      <c r="Q404" s="30">
        <v>307</v>
      </c>
      <c r="R404" s="30">
        <v>578</v>
      </c>
      <c r="S404" s="31">
        <f>R404/N404</f>
        <v>4.9827586206896548</v>
      </c>
      <c r="T404" s="32">
        <f>O404/R404</f>
        <v>0.36678200692041524</v>
      </c>
      <c r="U404" s="32">
        <f>P404/R404</f>
        <v>0.10207612456747404</v>
      </c>
      <c r="V404" s="32">
        <f>Q404/R404</f>
        <v>0.53114186851211076</v>
      </c>
      <c r="W404" s="31">
        <f>P404/O404</f>
        <v>0.27830188679245282</v>
      </c>
      <c r="X404" s="31">
        <f>Q404/(O404+P404)</f>
        <v>1.1328413284132841</v>
      </c>
      <c r="Y404" s="65">
        <f>R404/R$488</f>
        <v>1.6790659977515621E-3</v>
      </c>
      <c r="Z404" s="33">
        <v>620</v>
      </c>
      <c r="AA404" s="33">
        <v>686</v>
      </c>
      <c r="AB404" s="29">
        <v>725</v>
      </c>
      <c r="AC404" s="34">
        <f>Z404/R404</f>
        <v>1.0726643598615917</v>
      </c>
      <c r="AD404" s="34">
        <f>AA404/Z404</f>
        <v>1.1064516129032258</v>
      </c>
      <c r="AE404" s="34">
        <f>AB404/AA404</f>
        <v>1.0568513119533527</v>
      </c>
      <c r="AF404" s="35">
        <f>AB404/R404</f>
        <v>1.2543252595155709</v>
      </c>
      <c r="AG404" s="29">
        <f>0.6*Z404+0.4*AA404</f>
        <v>646.40000000000009</v>
      </c>
      <c r="AH404" s="54">
        <v>5436</v>
      </c>
      <c r="AI404" s="59">
        <f>AH404/AG404</f>
        <v>8.4096534653465334</v>
      </c>
      <c r="AJ404" s="61">
        <f>AI404/AI$488</f>
        <v>1.7870877441816979</v>
      </c>
    </row>
    <row r="405" spans="1:36" ht="15" customHeight="1" x14ac:dyDescent="0.2">
      <c r="A405" s="28" t="s">
        <v>11</v>
      </c>
      <c r="B405" s="28"/>
      <c r="C405" s="27" t="s">
        <v>113</v>
      </c>
      <c r="D405" s="28">
        <v>16</v>
      </c>
      <c r="E405" s="27"/>
      <c r="F405" s="27"/>
      <c r="G405" s="27" t="s">
        <v>73</v>
      </c>
      <c r="H405" s="27">
        <v>11</v>
      </c>
      <c r="I405" s="27" t="s">
        <v>624</v>
      </c>
      <c r="J405" s="27">
        <v>4</v>
      </c>
      <c r="K405" s="27">
        <v>4</v>
      </c>
      <c r="L405" s="27">
        <v>97</v>
      </c>
      <c r="M405" s="29">
        <v>90</v>
      </c>
      <c r="N405" s="30">
        <v>96</v>
      </c>
      <c r="O405" s="30">
        <v>201</v>
      </c>
      <c r="P405" s="30">
        <v>34</v>
      </c>
      <c r="Q405" s="30">
        <v>296</v>
      </c>
      <c r="R405" s="30">
        <v>531</v>
      </c>
      <c r="S405" s="31">
        <f>R405/N405</f>
        <v>5.53125</v>
      </c>
      <c r="T405" s="32">
        <f>O405/R405</f>
        <v>0.37853107344632769</v>
      </c>
      <c r="U405" s="32">
        <f>P405/R405</f>
        <v>6.4030131826741998E-2</v>
      </c>
      <c r="V405" s="32">
        <f>Q405/R405</f>
        <v>0.55743879472693036</v>
      </c>
      <c r="W405" s="31">
        <f>P405/O405</f>
        <v>0.1691542288557214</v>
      </c>
      <c r="X405" s="31">
        <f>Q405/(O405+P405)</f>
        <v>1.2595744680851064</v>
      </c>
      <c r="Y405" s="65">
        <f>R405/R$488</f>
        <v>1.5425329494914871E-3</v>
      </c>
      <c r="Z405" s="33">
        <v>572</v>
      </c>
      <c r="AA405" s="33">
        <v>638</v>
      </c>
      <c r="AB405" s="29">
        <v>718</v>
      </c>
      <c r="AC405" s="34">
        <f>Z405/R405</f>
        <v>1.0772128060263653</v>
      </c>
      <c r="AD405" s="34">
        <f>AA405/Z405</f>
        <v>1.1153846153846154</v>
      </c>
      <c r="AE405" s="34">
        <f>AB405/AA405</f>
        <v>1.1253918495297806</v>
      </c>
      <c r="AF405" s="35">
        <f>AB405/R405</f>
        <v>1.3521657250470809</v>
      </c>
      <c r="AG405" s="29">
        <f>0.6*Z405+0.4*AA405</f>
        <v>598.4</v>
      </c>
      <c r="AH405" s="54">
        <v>4593</v>
      </c>
      <c r="AI405" s="59">
        <f>AH405/AG405</f>
        <v>7.675467914438503</v>
      </c>
      <c r="AJ405" s="61">
        <f>AI405/AI$488</f>
        <v>1.6310701382970345</v>
      </c>
    </row>
    <row r="406" spans="1:36" ht="15" customHeight="1" x14ac:dyDescent="0.2">
      <c r="A406" s="27" t="s">
        <v>403</v>
      </c>
      <c r="B406" s="27"/>
      <c r="C406" s="27" t="s">
        <v>331</v>
      </c>
      <c r="D406" s="27">
        <v>24</v>
      </c>
      <c r="E406" s="27"/>
      <c r="F406" s="27"/>
      <c r="G406" s="27" t="s">
        <v>331</v>
      </c>
      <c r="H406" s="27">
        <v>17</v>
      </c>
      <c r="I406" s="27" t="s">
        <v>620</v>
      </c>
      <c r="J406" s="27">
        <v>10</v>
      </c>
      <c r="K406" s="27">
        <v>1</v>
      </c>
      <c r="L406" s="27">
        <v>53</v>
      </c>
      <c r="M406" s="29">
        <v>37</v>
      </c>
      <c r="N406" s="30">
        <v>43</v>
      </c>
      <c r="O406" s="30">
        <v>128</v>
      </c>
      <c r="P406" s="30">
        <v>22</v>
      </c>
      <c r="Q406" s="30">
        <v>75</v>
      </c>
      <c r="R406" s="30">
        <v>225</v>
      </c>
      <c r="S406" s="31">
        <f>R406/N406</f>
        <v>5.2325581395348841</v>
      </c>
      <c r="T406" s="32">
        <f>O406/R406</f>
        <v>0.56888888888888889</v>
      </c>
      <c r="U406" s="32">
        <f>P406/R406</f>
        <v>9.7777777777777783E-2</v>
      </c>
      <c r="V406" s="32">
        <f>Q406/R406</f>
        <v>0.33333333333333331</v>
      </c>
      <c r="W406" s="31">
        <f>P406/O406</f>
        <v>0.171875</v>
      </c>
      <c r="X406" s="31">
        <f>Q406/(O406+P406)</f>
        <v>0.5</v>
      </c>
      <c r="Y406" s="65">
        <f>R406/R$488</f>
        <v>6.5361565656418938E-4</v>
      </c>
      <c r="Z406" s="33">
        <v>237</v>
      </c>
      <c r="AA406" s="33">
        <v>291</v>
      </c>
      <c r="AB406" s="29">
        <v>270</v>
      </c>
      <c r="AC406" s="34">
        <f>Z406/R406</f>
        <v>1.0533333333333332</v>
      </c>
      <c r="AD406" s="34">
        <f>AA406/Z406</f>
        <v>1.2278481012658229</v>
      </c>
      <c r="AE406" s="34">
        <f>AB406/AA406</f>
        <v>0.92783505154639179</v>
      </c>
      <c r="AF406" s="35">
        <f>AB406/R406</f>
        <v>1.2</v>
      </c>
      <c r="AG406" s="29">
        <f>0.6*Z406+0.4*AA406</f>
        <v>258.60000000000002</v>
      </c>
      <c r="AH406" s="54">
        <v>1779</v>
      </c>
      <c r="AI406" s="59">
        <f>AH406/AG406</f>
        <v>6.8793503480278417</v>
      </c>
      <c r="AJ406" s="61">
        <f>AI406/AI$488</f>
        <v>1.4618917111807603</v>
      </c>
    </row>
    <row r="407" spans="1:36" ht="15" customHeight="1" x14ac:dyDescent="0.2">
      <c r="A407" s="28" t="s">
        <v>67</v>
      </c>
      <c r="B407" s="28"/>
      <c r="C407" s="28" t="s">
        <v>116</v>
      </c>
      <c r="D407" s="27">
        <v>32</v>
      </c>
      <c r="E407" s="27"/>
      <c r="F407" s="27"/>
      <c r="G407" s="27" t="s">
        <v>106</v>
      </c>
      <c r="H407" s="27">
        <v>12</v>
      </c>
      <c r="I407" s="27" t="s">
        <v>111</v>
      </c>
      <c r="J407" s="27">
        <v>5</v>
      </c>
      <c r="K407" s="27">
        <v>4</v>
      </c>
      <c r="L407" s="27">
        <v>99</v>
      </c>
      <c r="M407" s="29">
        <v>123</v>
      </c>
      <c r="N407" s="30">
        <v>127</v>
      </c>
      <c r="O407" s="30">
        <v>127</v>
      </c>
      <c r="P407" s="30">
        <v>234</v>
      </c>
      <c r="Q407" s="30">
        <v>213</v>
      </c>
      <c r="R407" s="30">
        <v>574</v>
      </c>
      <c r="S407" s="31">
        <f>R407/N407</f>
        <v>4.5196850393700787</v>
      </c>
      <c r="T407" s="32">
        <f>O407/R407</f>
        <v>0.22125435540069685</v>
      </c>
      <c r="U407" s="32">
        <f>P407/R407</f>
        <v>0.40766550522648082</v>
      </c>
      <c r="V407" s="32">
        <f>Q407/R407</f>
        <v>0.3710801393728223</v>
      </c>
      <c r="W407" s="31">
        <f>P407/O407</f>
        <v>1.8425196850393701</v>
      </c>
      <c r="X407" s="31">
        <f>Q407/(O407+P407)</f>
        <v>0.59002770083102496</v>
      </c>
      <c r="Y407" s="65">
        <f>R407/R$488</f>
        <v>1.6674461638570876E-3</v>
      </c>
      <c r="Z407" s="33">
        <v>669</v>
      </c>
      <c r="AA407" s="33">
        <v>610</v>
      </c>
      <c r="AB407" s="29">
        <v>621</v>
      </c>
      <c r="AC407" s="34">
        <f>Z407/R407</f>
        <v>1.1655052264808363</v>
      </c>
      <c r="AD407" s="34">
        <f>AA407/Z407</f>
        <v>0.91180866965620333</v>
      </c>
      <c r="AE407" s="34">
        <f>AB407/AA407</f>
        <v>1.0180327868852459</v>
      </c>
      <c r="AF407" s="35">
        <f>AB407/R407</f>
        <v>1.0818815331010454</v>
      </c>
      <c r="AG407" s="29">
        <f>0.6*Z407+0.4*AA407</f>
        <v>645.4</v>
      </c>
      <c r="AH407" s="54">
        <v>2932</v>
      </c>
      <c r="AI407" s="59">
        <f>AH407/AG407</f>
        <v>4.542919119925628</v>
      </c>
      <c r="AJ407" s="61">
        <f>AI407/AI$488</f>
        <v>0.96538996707556435</v>
      </c>
    </row>
    <row r="408" spans="1:36" ht="15" customHeight="1" x14ac:dyDescent="0.2">
      <c r="A408" s="28" t="s">
        <v>158</v>
      </c>
      <c r="B408" s="28"/>
      <c r="C408" s="28" t="s">
        <v>112</v>
      </c>
      <c r="D408" s="28">
        <v>6</v>
      </c>
      <c r="E408" s="27"/>
      <c r="F408" s="27" t="s">
        <v>481</v>
      </c>
      <c r="G408" s="27" t="s">
        <v>287</v>
      </c>
      <c r="H408" s="27">
        <v>25</v>
      </c>
      <c r="I408" s="27" t="s">
        <v>624</v>
      </c>
      <c r="J408" s="27">
        <v>4</v>
      </c>
      <c r="K408" s="27">
        <v>4</v>
      </c>
      <c r="L408" s="27">
        <v>91</v>
      </c>
      <c r="M408" s="29">
        <v>250</v>
      </c>
      <c r="N408" s="30">
        <v>250</v>
      </c>
      <c r="O408" s="30">
        <v>496</v>
      </c>
      <c r="P408" s="30">
        <v>110</v>
      </c>
      <c r="Q408" s="30">
        <v>695</v>
      </c>
      <c r="R408" s="30">
        <v>1301</v>
      </c>
      <c r="S408" s="31">
        <f>R408/N408</f>
        <v>5.2039999999999997</v>
      </c>
      <c r="T408" s="32">
        <f>O408/R408</f>
        <v>0.38124519600307455</v>
      </c>
      <c r="U408" s="32">
        <f>P408/R408</f>
        <v>8.4550345887778627E-2</v>
      </c>
      <c r="V408" s="32">
        <f>Q408/R408</f>
        <v>0.53420445810914685</v>
      </c>
      <c r="W408" s="31">
        <f>P408/O408</f>
        <v>0.22177419354838709</v>
      </c>
      <c r="X408" s="31">
        <f>Q408/(O408+P408)</f>
        <v>1.1468646864686469</v>
      </c>
      <c r="Y408" s="65">
        <f>R408/R$488</f>
        <v>3.7793509741778242E-3</v>
      </c>
      <c r="Z408" s="29">
        <v>1273</v>
      </c>
      <c r="AA408" s="29">
        <v>1487</v>
      </c>
      <c r="AB408" s="29">
        <v>1609</v>
      </c>
      <c r="AC408" s="34">
        <f>Z408/R408</f>
        <v>0.97847809377401995</v>
      </c>
      <c r="AD408" s="34">
        <f>AA408/Z408</f>
        <v>1.1681068342498035</v>
      </c>
      <c r="AE408" s="34">
        <f>AB408/AA408</f>
        <v>1.0820443846671151</v>
      </c>
      <c r="AF408" s="35">
        <f>AB408/R408</f>
        <v>1.2367409684857802</v>
      </c>
      <c r="AG408" s="29">
        <f>0.6*Z408+0.4*AA408</f>
        <v>1358.6</v>
      </c>
      <c r="AH408" s="54">
        <v>5706</v>
      </c>
      <c r="AI408" s="59">
        <f>AH408/AG408</f>
        <v>4.1999116737818349</v>
      </c>
      <c r="AJ408" s="61">
        <f>AI408/AI$488</f>
        <v>0.89249940081233514</v>
      </c>
    </row>
    <row r="409" spans="1:36" ht="15" customHeight="1" x14ac:dyDescent="0.2">
      <c r="A409" s="28" t="s">
        <v>593</v>
      </c>
      <c r="B409" s="28"/>
      <c r="C409" s="28" t="s">
        <v>119</v>
      </c>
      <c r="D409" s="28">
        <v>31</v>
      </c>
      <c r="E409" s="27"/>
      <c r="F409" s="27"/>
      <c r="G409" s="27" t="s">
        <v>332</v>
      </c>
      <c r="H409" s="27">
        <v>18</v>
      </c>
      <c r="I409" s="27" t="s">
        <v>621</v>
      </c>
      <c r="J409" s="27">
        <v>7</v>
      </c>
      <c r="K409" s="27">
        <v>2</v>
      </c>
      <c r="L409" s="27">
        <v>73</v>
      </c>
      <c r="M409" s="29">
        <v>48</v>
      </c>
      <c r="N409" s="30">
        <v>48</v>
      </c>
      <c r="O409" s="30">
        <v>176</v>
      </c>
      <c r="P409" s="30">
        <v>13</v>
      </c>
      <c r="Q409" s="30">
        <v>166</v>
      </c>
      <c r="R409" s="30">
        <v>355</v>
      </c>
      <c r="S409" s="31">
        <f>R409/N409</f>
        <v>7.395833333333333</v>
      </c>
      <c r="T409" s="32">
        <f>O409/R409</f>
        <v>0.49577464788732395</v>
      </c>
      <c r="U409" s="32">
        <f>P409/R409</f>
        <v>3.6619718309859155E-2</v>
      </c>
      <c r="V409" s="32">
        <f>Q409/R409</f>
        <v>0.46760563380281689</v>
      </c>
      <c r="W409" s="31">
        <f>P409/O409</f>
        <v>7.3863636363636367E-2</v>
      </c>
      <c r="X409" s="31">
        <f>Q409/(O409+P409)</f>
        <v>0.87830687830687826</v>
      </c>
      <c r="Y409" s="65">
        <f>R409/R$488</f>
        <v>1.03126025813461E-3</v>
      </c>
      <c r="Z409" s="33">
        <v>434</v>
      </c>
      <c r="AA409" s="33">
        <v>466</v>
      </c>
      <c r="AB409" s="29">
        <v>524</v>
      </c>
      <c r="AC409" s="34">
        <f>Z409/R409</f>
        <v>1.2225352112676056</v>
      </c>
      <c r="AD409" s="34">
        <f>AA409/Z409</f>
        <v>1.0737327188940091</v>
      </c>
      <c r="AE409" s="34">
        <f>AB409/AA409</f>
        <v>1.1244635193133048</v>
      </c>
      <c r="AF409" s="35">
        <f>AB409/R409</f>
        <v>1.476056338028169</v>
      </c>
      <c r="AG409" s="29">
        <f>0.6*Z409+0.4*AA409</f>
        <v>446.79999999999995</v>
      </c>
      <c r="AH409" s="54">
        <v>3883</v>
      </c>
      <c r="AI409" s="59">
        <f>AH409/AG409</f>
        <v>8.6906893464637438</v>
      </c>
      <c r="AJ409" s="61">
        <f>AI409/AI$488</f>
        <v>1.8468090847683729</v>
      </c>
    </row>
    <row r="410" spans="1:36" ht="15" customHeight="1" x14ac:dyDescent="0.2">
      <c r="A410" s="28" t="s">
        <v>231</v>
      </c>
      <c r="B410" s="28"/>
      <c r="C410" s="28" t="s">
        <v>121</v>
      </c>
      <c r="D410" s="28">
        <v>18</v>
      </c>
      <c r="E410" s="27"/>
      <c r="F410" s="27"/>
      <c r="G410" s="27" t="s">
        <v>126</v>
      </c>
      <c r="H410" s="27">
        <v>20</v>
      </c>
      <c r="I410" s="27" t="s">
        <v>622</v>
      </c>
      <c r="J410" s="27">
        <v>8</v>
      </c>
      <c r="K410" s="27">
        <v>3</v>
      </c>
      <c r="L410" s="27">
        <v>46</v>
      </c>
      <c r="M410" s="29">
        <v>43</v>
      </c>
      <c r="N410" s="30">
        <v>62</v>
      </c>
      <c r="O410" s="30">
        <v>42</v>
      </c>
      <c r="P410" s="30">
        <v>4</v>
      </c>
      <c r="Q410" s="30">
        <v>189</v>
      </c>
      <c r="R410" s="30">
        <v>235</v>
      </c>
      <c r="S410" s="31">
        <f>R410/N410</f>
        <v>3.7903225806451615</v>
      </c>
      <c r="T410" s="32">
        <f>O410/R410</f>
        <v>0.17872340425531916</v>
      </c>
      <c r="U410" s="32">
        <f>P410/R410</f>
        <v>1.7021276595744681E-2</v>
      </c>
      <c r="V410" s="32">
        <f>Q410/R410</f>
        <v>0.80425531914893622</v>
      </c>
      <c r="W410" s="31">
        <f>P410/O410</f>
        <v>9.5238095238095233E-2</v>
      </c>
      <c r="X410" s="31">
        <f>Q410/(O410+P410)</f>
        <v>4.1086956521739131</v>
      </c>
      <c r="Y410" s="65">
        <f>R410/R$488</f>
        <v>6.8266524130037557E-4</v>
      </c>
      <c r="Z410" s="33">
        <v>339</v>
      </c>
      <c r="AA410" s="33">
        <v>394</v>
      </c>
      <c r="AB410" s="29">
        <v>463</v>
      </c>
      <c r="AC410" s="34">
        <f>Z410/R410</f>
        <v>1.4425531914893617</v>
      </c>
      <c r="AD410" s="34">
        <f>AA410/Z410</f>
        <v>1.1622418879056047</v>
      </c>
      <c r="AE410" s="34">
        <f>AB410/AA410</f>
        <v>1.1751269035532994</v>
      </c>
      <c r="AF410" s="35">
        <f>AB410/R410</f>
        <v>1.9702127659574469</v>
      </c>
      <c r="AG410" s="29">
        <f>0.6*Z410+0.4*AA410</f>
        <v>361</v>
      </c>
      <c r="AH410" s="54">
        <v>2015</v>
      </c>
      <c r="AI410" s="59">
        <f>AH410/AG410</f>
        <v>5.5817174515235459</v>
      </c>
      <c r="AJ410" s="61">
        <f>AI410/AI$488</f>
        <v>1.1861391067071505</v>
      </c>
    </row>
    <row r="411" spans="1:36" ht="15" customHeight="1" x14ac:dyDescent="0.2">
      <c r="A411" s="28" t="s">
        <v>147</v>
      </c>
      <c r="B411" s="28"/>
      <c r="C411" s="28" t="s">
        <v>117</v>
      </c>
      <c r="D411" s="28">
        <v>3</v>
      </c>
      <c r="E411" s="27"/>
      <c r="F411" s="27"/>
      <c r="G411" s="27" t="s">
        <v>138</v>
      </c>
      <c r="H411" s="27">
        <v>9</v>
      </c>
      <c r="I411" s="27" t="s">
        <v>619</v>
      </c>
      <c r="J411" s="27">
        <v>9</v>
      </c>
      <c r="K411" s="27">
        <v>3</v>
      </c>
      <c r="L411" s="27">
        <v>43</v>
      </c>
      <c r="M411" s="29">
        <v>52</v>
      </c>
      <c r="N411" s="30">
        <v>52</v>
      </c>
      <c r="O411" s="30">
        <v>321</v>
      </c>
      <c r="P411" s="30">
        <v>9</v>
      </c>
      <c r="Q411" s="30">
        <v>0</v>
      </c>
      <c r="R411" s="30">
        <v>330</v>
      </c>
      <c r="S411" s="31">
        <f>R411/N411</f>
        <v>6.3461538461538458</v>
      </c>
      <c r="T411" s="32">
        <f>O411/R411</f>
        <v>0.97272727272727277</v>
      </c>
      <c r="U411" s="32">
        <f>P411/R411</f>
        <v>2.7272727272727271E-2</v>
      </c>
      <c r="V411" s="32">
        <f>Q411/R411</f>
        <v>0</v>
      </c>
      <c r="W411" s="31">
        <f>P411/O411</f>
        <v>2.8037383177570093E-2</v>
      </c>
      <c r="X411" s="31">
        <f>Q411/(O411+P411)</f>
        <v>0</v>
      </c>
      <c r="Y411" s="65">
        <f>R411/R$488</f>
        <v>9.5863629629414451E-4</v>
      </c>
      <c r="Z411" s="33">
        <v>320</v>
      </c>
      <c r="AA411" s="33">
        <v>405</v>
      </c>
      <c r="AB411" s="29">
        <v>491</v>
      </c>
      <c r="AC411" s="34">
        <f>Z411/R411</f>
        <v>0.96969696969696972</v>
      </c>
      <c r="AD411" s="34">
        <f>AA411/Z411</f>
        <v>1.265625</v>
      </c>
      <c r="AE411" s="34">
        <f>AB411/AA411</f>
        <v>1.2123456790123457</v>
      </c>
      <c r="AF411" s="35">
        <f>AB411/R411</f>
        <v>1.4878787878787878</v>
      </c>
      <c r="AG411" s="29">
        <f>0.6*Z411+0.4*AA411</f>
        <v>354</v>
      </c>
      <c r="AH411" s="54">
        <v>1801</v>
      </c>
      <c r="AI411" s="59">
        <f>AH411/AG411</f>
        <v>5.0875706214689265</v>
      </c>
      <c r="AJ411" s="61">
        <f>AI411/AI$488</f>
        <v>1.0811307674865454</v>
      </c>
    </row>
    <row r="412" spans="1:36" ht="15" customHeight="1" x14ac:dyDescent="0.2">
      <c r="A412" s="27" t="s">
        <v>415</v>
      </c>
      <c r="B412" s="27"/>
      <c r="C412" s="27" t="s">
        <v>332</v>
      </c>
      <c r="D412" s="27">
        <v>25</v>
      </c>
      <c r="E412" s="27"/>
      <c r="F412" s="27" t="s">
        <v>481</v>
      </c>
      <c r="G412" s="27" t="s">
        <v>350</v>
      </c>
      <c r="H412" s="27">
        <v>2</v>
      </c>
      <c r="I412" s="27" t="s">
        <v>620</v>
      </c>
      <c r="J412" s="27">
        <v>10</v>
      </c>
      <c r="K412" s="27">
        <v>1</v>
      </c>
      <c r="L412" s="27">
        <v>52</v>
      </c>
      <c r="M412" s="29">
        <v>163</v>
      </c>
      <c r="N412" s="30">
        <v>188</v>
      </c>
      <c r="O412" s="30">
        <v>680</v>
      </c>
      <c r="P412" s="30">
        <v>89</v>
      </c>
      <c r="Q412" s="30">
        <v>313</v>
      </c>
      <c r="R412" s="30">
        <v>1082</v>
      </c>
      <c r="S412" s="31">
        <f>R412/N412</f>
        <v>5.7553191489361701</v>
      </c>
      <c r="T412" s="32">
        <f>O412/R412</f>
        <v>0.6284658040665434</v>
      </c>
      <c r="U412" s="32">
        <f>P412/R412</f>
        <v>8.2255083179297597E-2</v>
      </c>
      <c r="V412" s="32">
        <f>Q412/R412</f>
        <v>0.28927911275415896</v>
      </c>
      <c r="W412" s="31">
        <f>P412/O412</f>
        <v>0.13088235294117648</v>
      </c>
      <c r="X412" s="31">
        <f>Q412/(O412+P412)</f>
        <v>0.40702210663198962</v>
      </c>
      <c r="Y412" s="65">
        <f>R412/R$488</f>
        <v>3.1431650684553463E-3</v>
      </c>
      <c r="Z412" s="29">
        <v>1150</v>
      </c>
      <c r="AA412" s="29">
        <v>1374</v>
      </c>
      <c r="AB412" s="29">
        <v>1511</v>
      </c>
      <c r="AC412" s="34">
        <f>Z412/R412</f>
        <v>1.0628465804066543</v>
      </c>
      <c r="AD412" s="34">
        <f>AA412/Z412</f>
        <v>1.1947826086956521</v>
      </c>
      <c r="AE412" s="34">
        <f>AB412/AA412</f>
        <v>1.0997088791848617</v>
      </c>
      <c r="AF412" s="35">
        <f>AB412/R412</f>
        <v>1.3964879852125693</v>
      </c>
      <c r="AG412" s="29">
        <f>0.6*Z412+0.4*AA412</f>
        <v>1239.5999999999999</v>
      </c>
      <c r="AH412" s="54">
        <v>6711</v>
      </c>
      <c r="AI412" s="59">
        <f>AH412/AG412</f>
        <v>5.4138431752178127</v>
      </c>
      <c r="AJ412" s="61">
        <f>AI412/AI$488</f>
        <v>1.1504650967154695</v>
      </c>
    </row>
    <row r="413" spans="1:36" ht="15" customHeight="1" x14ac:dyDescent="0.2">
      <c r="A413" s="28" t="s">
        <v>232</v>
      </c>
      <c r="B413" s="28"/>
      <c r="C413" s="28" t="s">
        <v>121</v>
      </c>
      <c r="D413" s="28">
        <v>18</v>
      </c>
      <c r="E413" s="27"/>
      <c r="F413" s="27"/>
      <c r="G413" s="27" t="s">
        <v>126</v>
      </c>
      <c r="H413" s="27">
        <v>20</v>
      </c>
      <c r="I413" s="27" t="s">
        <v>622</v>
      </c>
      <c r="J413" s="27">
        <v>8</v>
      </c>
      <c r="K413" s="27">
        <v>4</v>
      </c>
      <c r="L413" s="27">
        <v>79</v>
      </c>
      <c r="M413" s="29">
        <v>39</v>
      </c>
      <c r="N413" s="30">
        <v>45</v>
      </c>
      <c r="O413" s="30">
        <v>151</v>
      </c>
      <c r="P413" s="30">
        <v>7</v>
      </c>
      <c r="Q413" s="30">
        <v>41</v>
      </c>
      <c r="R413" s="30">
        <v>199</v>
      </c>
      <c r="S413" s="31">
        <f>R413/N413</f>
        <v>4.4222222222222225</v>
      </c>
      <c r="T413" s="32">
        <f>O413/R413</f>
        <v>0.75879396984924619</v>
      </c>
      <c r="U413" s="32">
        <f>P413/R413</f>
        <v>3.5175879396984924E-2</v>
      </c>
      <c r="V413" s="32">
        <f>Q413/R413</f>
        <v>0.20603015075376885</v>
      </c>
      <c r="W413" s="31">
        <f>P413/O413</f>
        <v>4.6357615894039736E-2</v>
      </c>
      <c r="X413" s="31">
        <f>Q413/(O413+P413)</f>
        <v>0.25949367088607594</v>
      </c>
      <c r="Y413" s="65">
        <f>R413/R$488</f>
        <v>5.7808673625010527E-4</v>
      </c>
      <c r="Z413" s="33">
        <v>214</v>
      </c>
      <c r="AA413" s="33">
        <v>288</v>
      </c>
      <c r="AB413" s="29">
        <v>296</v>
      </c>
      <c r="AC413" s="34">
        <f>Z413/R413</f>
        <v>1.0753768844221105</v>
      </c>
      <c r="AD413" s="34">
        <f>AA413/Z413</f>
        <v>1.3457943925233644</v>
      </c>
      <c r="AE413" s="34">
        <f>AB413/AA413</f>
        <v>1.0277777777777777</v>
      </c>
      <c r="AF413" s="35">
        <f>AB413/R413</f>
        <v>1.4874371859296482</v>
      </c>
      <c r="AG413" s="29">
        <f>0.6*Z413+0.4*AA413</f>
        <v>243.60000000000002</v>
      </c>
      <c r="AH413" s="54">
        <v>1571</v>
      </c>
      <c r="AI413" s="59">
        <f>AH413/AG413</f>
        <v>6.4490968801313624</v>
      </c>
      <c r="AJ413" s="61">
        <f>AI413/AI$488</f>
        <v>1.3704609878414618</v>
      </c>
    </row>
    <row r="414" spans="1:36" ht="15" customHeight="1" x14ac:dyDescent="0.2">
      <c r="A414" s="28" t="s">
        <v>209</v>
      </c>
      <c r="B414" s="28"/>
      <c r="C414" s="28" t="s">
        <v>122</v>
      </c>
      <c r="D414" s="28">
        <v>15</v>
      </c>
      <c r="E414" s="27"/>
      <c r="F414" s="27"/>
      <c r="G414" s="27" t="s">
        <v>206</v>
      </c>
      <c r="H414" s="27">
        <v>16</v>
      </c>
      <c r="I414" s="27" t="s">
        <v>618</v>
      </c>
      <c r="J414" s="27">
        <v>6</v>
      </c>
      <c r="K414" s="27">
        <v>6</v>
      </c>
      <c r="L414" s="27">
        <v>68</v>
      </c>
      <c r="M414" s="29">
        <v>72</v>
      </c>
      <c r="N414" s="30">
        <v>75</v>
      </c>
      <c r="O414" s="30">
        <v>97</v>
      </c>
      <c r="P414" s="30">
        <v>30</v>
      </c>
      <c r="Q414" s="30">
        <v>266</v>
      </c>
      <c r="R414" s="30">
        <v>393</v>
      </c>
      <c r="S414" s="31">
        <f>R414/N414</f>
        <v>5.24</v>
      </c>
      <c r="T414" s="32">
        <f>O414/R414</f>
        <v>0.24681933842239187</v>
      </c>
      <c r="U414" s="32">
        <f>P414/R414</f>
        <v>7.6335877862595422E-2</v>
      </c>
      <c r="V414" s="32">
        <f>Q414/R414</f>
        <v>0.67684478371501278</v>
      </c>
      <c r="W414" s="31">
        <f>P414/O414</f>
        <v>0.30927835051546393</v>
      </c>
      <c r="X414" s="31">
        <f>Q414/(O414+P414)</f>
        <v>2.0944881889763778</v>
      </c>
      <c r="Y414" s="65">
        <f>R414/R$488</f>
        <v>1.1416486801321176E-3</v>
      </c>
      <c r="Z414" s="33">
        <v>348</v>
      </c>
      <c r="AA414" s="33">
        <v>393</v>
      </c>
      <c r="AB414" s="29">
        <v>479</v>
      </c>
      <c r="AC414" s="34">
        <f>Z414/R414</f>
        <v>0.8854961832061069</v>
      </c>
      <c r="AD414" s="34">
        <f>AA414/Z414</f>
        <v>1.1293103448275863</v>
      </c>
      <c r="AE414" s="34">
        <f>AB414/AA414</f>
        <v>1.2188295165394403</v>
      </c>
      <c r="AF414" s="35">
        <f>AB414/R414</f>
        <v>1.2188295165394403</v>
      </c>
      <c r="AG414" s="29">
        <f>0.6*Z414+0.4*AA414</f>
        <v>366</v>
      </c>
      <c r="AH414" s="54">
        <v>3288</v>
      </c>
      <c r="AI414" s="59">
        <f>AH414/AG414</f>
        <v>8.9836065573770494</v>
      </c>
      <c r="AJ414" s="61">
        <f>AI414/AI$488</f>
        <v>1.9090552593390731</v>
      </c>
    </row>
    <row r="415" spans="1:36" ht="15" customHeight="1" x14ac:dyDescent="0.2">
      <c r="A415" s="28" t="s">
        <v>74</v>
      </c>
      <c r="B415" s="28"/>
      <c r="C415" s="28" t="s">
        <v>115</v>
      </c>
      <c r="D415" s="28">
        <v>22</v>
      </c>
      <c r="E415" s="27"/>
      <c r="F415" s="27"/>
      <c r="G415" s="27" t="s">
        <v>428</v>
      </c>
      <c r="H415" s="27">
        <v>19</v>
      </c>
      <c r="I415" s="27" t="s">
        <v>624</v>
      </c>
      <c r="J415" s="27">
        <v>4</v>
      </c>
      <c r="K415" s="27">
        <v>4</v>
      </c>
      <c r="L415" s="27">
        <v>102</v>
      </c>
      <c r="M415" s="29">
        <v>122</v>
      </c>
      <c r="N415" s="30">
        <v>137</v>
      </c>
      <c r="O415" s="30">
        <v>195</v>
      </c>
      <c r="P415" s="30">
        <v>60</v>
      </c>
      <c r="Q415" s="30">
        <v>492</v>
      </c>
      <c r="R415" s="30">
        <v>747</v>
      </c>
      <c r="S415" s="31">
        <f>R415/N415</f>
        <v>5.4525547445255471</v>
      </c>
      <c r="T415" s="32">
        <f>O415/R415</f>
        <v>0.26104417670682734</v>
      </c>
      <c r="U415" s="32">
        <f>P415/R415</f>
        <v>8.0321285140562249E-2</v>
      </c>
      <c r="V415" s="32">
        <f>Q415/R415</f>
        <v>0.65863453815261042</v>
      </c>
      <c r="W415" s="31">
        <f>P415/O415</f>
        <v>0.30769230769230771</v>
      </c>
      <c r="X415" s="31">
        <f>Q415/(O415+P415)</f>
        <v>1.9294117647058824</v>
      </c>
      <c r="Y415" s="65">
        <f>R415/R$488</f>
        <v>2.1700039797931088E-3</v>
      </c>
      <c r="Z415" s="33">
        <v>949</v>
      </c>
      <c r="AA415" s="29">
        <v>1101</v>
      </c>
      <c r="AB415" s="29">
        <v>1061</v>
      </c>
      <c r="AC415" s="34">
        <f>Z415/R415</f>
        <v>1.2704149933065596</v>
      </c>
      <c r="AD415" s="34">
        <f>AA415/Z415</f>
        <v>1.160168598524763</v>
      </c>
      <c r="AE415" s="34">
        <f>AB415/AA415</f>
        <v>0.96366939146230701</v>
      </c>
      <c r="AF415" s="35">
        <f>AB415/R415</f>
        <v>1.4203480589022757</v>
      </c>
      <c r="AG415" s="29">
        <f>0.6*Z415+0.4*AA415</f>
        <v>1009.8</v>
      </c>
      <c r="AH415" s="54">
        <v>6674</v>
      </c>
      <c r="AI415" s="59">
        <f>AH415/AG415</f>
        <v>6.6092295504060212</v>
      </c>
      <c r="AJ415" s="61">
        <f>AI415/AI$488</f>
        <v>1.4044898730589266</v>
      </c>
    </row>
    <row r="416" spans="1:36" ht="15" customHeight="1" x14ac:dyDescent="0.2">
      <c r="A416" s="28" t="s">
        <v>126</v>
      </c>
      <c r="B416" s="28"/>
      <c r="C416" s="28" t="s">
        <v>126</v>
      </c>
      <c r="D416" s="28">
        <v>27</v>
      </c>
      <c r="E416" s="27" t="s">
        <v>420</v>
      </c>
      <c r="F416" s="27"/>
      <c r="G416" s="27" t="s">
        <v>126</v>
      </c>
      <c r="H416" s="27">
        <v>20</v>
      </c>
      <c r="I416" s="27" t="s">
        <v>622</v>
      </c>
      <c r="J416" s="27">
        <v>8</v>
      </c>
      <c r="K416" s="27">
        <v>4</v>
      </c>
      <c r="L416" s="27">
        <v>101</v>
      </c>
      <c r="M416" s="29">
        <v>472</v>
      </c>
      <c r="N416" s="30">
        <v>804</v>
      </c>
      <c r="O416" s="30">
        <v>298</v>
      </c>
      <c r="P416" s="30">
        <v>556</v>
      </c>
      <c r="Q416" s="30">
        <v>2566</v>
      </c>
      <c r="R416" s="30">
        <v>3420</v>
      </c>
      <c r="S416" s="31">
        <f>R416/N416</f>
        <v>4.2537313432835822</v>
      </c>
      <c r="T416" s="32">
        <f>O416/R416</f>
        <v>8.7134502923976606E-2</v>
      </c>
      <c r="U416" s="32">
        <f>P416/R416</f>
        <v>0.16257309941520467</v>
      </c>
      <c r="V416" s="32">
        <f>Q416/R416</f>
        <v>0.75029239766081868</v>
      </c>
      <c r="W416" s="31">
        <f>P416/O416</f>
        <v>1.8657718120805369</v>
      </c>
      <c r="X416" s="31">
        <f>Q416/(O416+P416)</f>
        <v>3.0046838407494145</v>
      </c>
      <c r="Y416" s="65">
        <f>R416/R$488</f>
        <v>9.9349579797756785E-3</v>
      </c>
      <c r="Z416" s="29">
        <v>4723</v>
      </c>
      <c r="AA416" s="29">
        <v>5483</v>
      </c>
      <c r="AB416" s="29">
        <v>5602</v>
      </c>
      <c r="AC416" s="34">
        <f>Z416/R416</f>
        <v>1.3809941520467837</v>
      </c>
      <c r="AD416" s="34">
        <f>AA416/Z416</f>
        <v>1.1609146728774085</v>
      </c>
      <c r="AE416" s="34">
        <f>AB416/AA416</f>
        <v>1.0217034470180557</v>
      </c>
      <c r="AF416" s="35">
        <f>AB416/R416</f>
        <v>1.6380116959064328</v>
      </c>
      <c r="AG416" s="29">
        <f>0.6*Z416+0.4*AA416</f>
        <v>5027</v>
      </c>
      <c r="AH416" s="54">
        <v>20117</v>
      </c>
      <c r="AI416" s="59">
        <f>AH416/AG416</f>
        <v>4.0017903322060873</v>
      </c>
      <c r="AJ416" s="61">
        <f>AI416/AI$488</f>
        <v>0.85039775859249545</v>
      </c>
    </row>
    <row r="417" spans="1:36" ht="15" customHeight="1" x14ac:dyDescent="0.2">
      <c r="A417" s="27" t="s">
        <v>383</v>
      </c>
      <c r="B417" s="27"/>
      <c r="C417" s="27" t="s">
        <v>327</v>
      </c>
      <c r="D417" s="27">
        <v>12</v>
      </c>
      <c r="E417" s="27"/>
      <c r="F417" s="27" t="s">
        <v>481</v>
      </c>
      <c r="G417" s="27" t="s">
        <v>350</v>
      </c>
      <c r="H417" s="27">
        <v>2</v>
      </c>
      <c r="I417" s="27" t="s">
        <v>620</v>
      </c>
      <c r="J417" s="27">
        <v>10</v>
      </c>
      <c r="K417" s="27">
        <v>1</v>
      </c>
      <c r="L417" s="27">
        <v>56</v>
      </c>
      <c r="M417" s="29">
        <v>181</v>
      </c>
      <c r="N417" s="30">
        <v>226</v>
      </c>
      <c r="O417" s="30">
        <v>300</v>
      </c>
      <c r="P417" s="30">
        <v>64</v>
      </c>
      <c r="Q417" s="30">
        <v>767</v>
      </c>
      <c r="R417" s="30">
        <v>1131</v>
      </c>
      <c r="S417" s="31">
        <f>R417/N417</f>
        <v>5.0044247787610621</v>
      </c>
      <c r="T417" s="32">
        <f>O417/R417</f>
        <v>0.26525198938992045</v>
      </c>
      <c r="U417" s="32">
        <f>P417/R417</f>
        <v>5.6587091069849688E-2</v>
      </c>
      <c r="V417" s="32">
        <f>Q417/R417</f>
        <v>0.67816091954022983</v>
      </c>
      <c r="W417" s="31">
        <f>P417/O417</f>
        <v>0.21333333333333335</v>
      </c>
      <c r="X417" s="31">
        <f>Q417/(O417+P417)</f>
        <v>2.1071428571428572</v>
      </c>
      <c r="Y417" s="65">
        <f>R417/R$488</f>
        <v>3.2855080336626589E-3</v>
      </c>
      <c r="Z417" s="29">
        <v>1136</v>
      </c>
      <c r="AA417" s="29">
        <v>1237</v>
      </c>
      <c r="AB417" s="29">
        <v>1348</v>
      </c>
      <c r="AC417" s="34">
        <f>Z417/R417</f>
        <v>1.004420866489832</v>
      </c>
      <c r="AD417" s="34">
        <f>AA417/Z417</f>
        <v>1.0889084507042253</v>
      </c>
      <c r="AE417" s="34">
        <f>AB417/AA417</f>
        <v>1.0897332255456751</v>
      </c>
      <c r="AF417" s="35">
        <f>AB417/R417</f>
        <v>1.1918656056587091</v>
      </c>
      <c r="AG417" s="29">
        <f>0.6*Z417+0.4*AA417</f>
        <v>1176.4000000000001</v>
      </c>
      <c r="AH417" s="54">
        <v>6889</v>
      </c>
      <c r="AI417" s="59">
        <f>AH417/AG417</f>
        <v>5.8560013600816045</v>
      </c>
      <c r="AJ417" s="61">
        <f>AI417/AI$488</f>
        <v>1.2444256239138571</v>
      </c>
    </row>
    <row r="418" spans="1:36" ht="15" customHeight="1" x14ac:dyDescent="0.2">
      <c r="A418" s="28" t="s">
        <v>85</v>
      </c>
      <c r="B418" s="28"/>
      <c r="C418" s="28" t="s">
        <v>116</v>
      </c>
      <c r="D418" s="27">
        <v>32</v>
      </c>
      <c r="E418" s="27"/>
      <c r="F418" s="27"/>
      <c r="G418" s="27" t="s">
        <v>50</v>
      </c>
      <c r="H418" s="27">
        <v>7</v>
      </c>
      <c r="I418" s="27" t="s">
        <v>111</v>
      </c>
      <c r="J418" s="27">
        <v>5</v>
      </c>
      <c r="K418" s="27">
        <v>2</v>
      </c>
      <c r="L418" s="27">
        <v>76</v>
      </c>
      <c r="M418" s="29">
        <v>84</v>
      </c>
      <c r="N418" s="30">
        <v>94</v>
      </c>
      <c r="O418" s="30">
        <v>416</v>
      </c>
      <c r="P418" s="30">
        <v>27</v>
      </c>
      <c r="Q418" s="30">
        <v>84</v>
      </c>
      <c r="R418" s="30">
        <v>527</v>
      </c>
      <c r="S418" s="31">
        <f>R418/N418</f>
        <v>5.6063829787234045</v>
      </c>
      <c r="T418" s="32">
        <f>O418/R418</f>
        <v>0.78937381404174578</v>
      </c>
      <c r="U418" s="32">
        <f>P418/R418</f>
        <v>5.1233396584440226E-2</v>
      </c>
      <c r="V418" s="32">
        <f>Q418/R418</f>
        <v>0.15939278937381404</v>
      </c>
      <c r="W418" s="31">
        <f>P418/O418</f>
        <v>6.4903846153846159E-2</v>
      </c>
      <c r="X418" s="31">
        <f>Q418/(O418+P418)</f>
        <v>0.18961625282167044</v>
      </c>
      <c r="Y418" s="65">
        <f>R418/R$488</f>
        <v>1.5309131155970125E-3</v>
      </c>
      <c r="Z418" s="33">
        <v>580</v>
      </c>
      <c r="AA418" s="33">
        <v>709</v>
      </c>
      <c r="AB418" s="29">
        <v>821</v>
      </c>
      <c r="AC418" s="34">
        <f>Z418/R418</f>
        <v>1.1005692599620494</v>
      </c>
      <c r="AD418" s="34">
        <f>AA418/Z418</f>
        <v>1.2224137931034482</v>
      </c>
      <c r="AE418" s="34">
        <f>AB418/AA418</f>
        <v>1.157968970380818</v>
      </c>
      <c r="AF418" s="35">
        <f>AB418/R418</f>
        <v>1.5578747628083491</v>
      </c>
      <c r="AG418" s="29">
        <f>0.6*Z418+0.4*AA418</f>
        <v>631.6</v>
      </c>
      <c r="AH418" s="54">
        <v>2723</v>
      </c>
      <c r="AI418" s="59">
        <f>AH418/AG418</f>
        <v>4.3112729575680806</v>
      </c>
      <c r="AJ418" s="61">
        <f>AI418/AI$488</f>
        <v>0.9161641554007145</v>
      </c>
    </row>
    <row r="419" spans="1:36" ht="15" customHeight="1" x14ac:dyDescent="0.2">
      <c r="A419" s="28" t="s">
        <v>48</v>
      </c>
      <c r="B419" s="28"/>
      <c r="C419" s="27" t="s">
        <v>111</v>
      </c>
      <c r="D419" s="28">
        <v>28</v>
      </c>
      <c r="E419" s="27"/>
      <c r="F419" s="27"/>
      <c r="G419" s="27" t="s">
        <v>426</v>
      </c>
      <c r="H419" s="27">
        <v>13</v>
      </c>
      <c r="I419" s="27" t="s">
        <v>111</v>
      </c>
      <c r="J419" s="27">
        <v>5</v>
      </c>
      <c r="K419" s="27">
        <v>5</v>
      </c>
      <c r="L419" s="27">
        <v>9</v>
      </c>
      <c r="M419" s="29">
        <v>16</v>
      </c>
      <c r="N419" s="30">
        <v>16</v>
      </c>
      <c r="O419" s="30">
        <v>74</v>
      </c>
      <c r="P419" s="30">
        <v>8</v>
      </c>
      <c r="Q419" s="30">
        <v>51</v>
      </c>
      <c r="R419" s="30">
        <v>133</v>
      </c>
      <c r="S419" s="31">
        <f>R419/N419</f>
        <v>8.3125</v>
      </c>
      <c r="T419" s="32">
        <f>O419/R419</f>
        <v>0.55639097744360899</v>
      </c>
      <c r="U419" s="32">
        <f>P419/R419</f>
        <v>6.0150375939849621E-2</v>
      </c>
      <c r="V419" s="32">
        <f>Q419/R419</f>
        <v>0.38345864661654133</v>
      </c>
      <c r="W419" s="31">
        <f>P419/O419</f>
        <v>0.10810810810810811</v>
      </c>
      <c r="X419" s="31">
        <f>Q419/(O419+P419)</f>
        <v>0.62195121951219512</v>
      </c>
      <c r="Y419" s="65">
        <f>R419/R$488</f>
        <v>3.8635947699127641E-4</v>
      </c>
      <c r="Z419" s="33">
        <v>149</v>
      </c>
      <c r="AA419" s="33">
        <v>131</v>
      </c>
      <c r="AB419" s="29">
        <v>160</v>
      </c>
      <c r="AC419" s="34">
        <f>Z419/R419</f>
        <v>1.1203007518796992</v>
      </c>
      <c r="AD419" s="34">
        <f>AA419/Z419</f>
        <v>0.87919463087248317</v>
      </c>
      <c r="AE419" s="34">
        <f>AB419/AA419</f>
        <v>1.2213740458015268</v>
      </c>
      <c r="AF419" s="35">
        <f>AB419/R419</f>
        <v>1.2030075187969924</v>
      </c>
      <c r="AG419" s="29">
        <f>0.6*Z419+0.4*AA419</f>
        <v>141.80000000000001</v>
      </c>
      <c r="AH419" s="54">
        <v>1056</v>
      </c>
      <c r="AI419" s="59">
        <f>AH419/AG419</f>
        <v>7.4471086036671359</v>
      </c>
      <c r="AJ419" s="61">
        <f>AI419/AI$488</f>
        <v>1.5825427968041976</v>
      </c>
    </row>
    <row r="420" spans="1:36" ht="15" customHeight="1" x14ac:dyDescent="0.2">
      <c r="A420" s="28" t="s">
        <v>306</v>
      </c>
      <c r="B420" s="28"/>
      <c r="C420" s="28" t="s">
        <v>119</v>
      </c>
      <c r="D420" s="28">
        <v>31</v>
      </c>
      <c r="E420" s="27"/>
      <c r="F420" s="27"/>
      <c r="G420" s="27" t="s">
        <v>332</v>
      </c>
      <c r="H420" s="27">
        <v>18</v>
      </c>
      <c r="I420" s="27" t="s">
        <v>621</v>
      </c>
      <c r="J420" s="27">
        <v>7</v>
      </c>
      <c r="K420" s="27">
        <v>3</v>
      </c>
      <c r="L420" s="27">
        <v>50</v>
      </c>
      <c r="M420" s="29">
        <v>38</v>
      </c>
      <c r="N420" s="30">
        <v>40</v>
      </c>
      <c r="O420" s="30">
        <v>50</v>
      </c>
      <c r="P420" s="30">
        <v>7</v>
      </c>
      <c r="Q420" s="30">
        <v>143</v>
      </c>
      <c r="R420" s="30">
        <v>200</v>
      </c>
      <c r="S420" s="31">
        <f>R420/N420</f>
        <v>5</v>
      </c>
      <c r="T420" s="32">
        <f>O420/R420</f>
        <v>0.25</v>
      </c>
      <c r="U420" s="32">
        <f>P420/R420</f>
        <v>3.5000000000000003E-2</v>
      </c>
      <c r="V420" s="32">
        <f>Q420/R420</f>
        <v>0.71499999999999997</v>
      </c>
      <c r="W420" s="31">
        <f>P420/O420</f>
        <v>0.14000000000000001</v>
      </c>
      <c r="X420" s="31">
        <f>Q420/(O420+P420)</f>
        <v>2.5087719298245612</v>
      </c>
      <c r="Y420" s="65">
        <f>R420/R$488</f>
        <v>5.8099169472372396E-4</v>
      </c>
      <c r="Z420" s="33">
        <v>179</v>
      </c>
      <c r="AA420" s="33">
        <v>198</v>
      </c>
      <c r="AB420" s="29">
        <v>222</v>
      </c>
      <c r="AC420" s="34">
        <f>Z420/R420</f>
        <v>0.89500000000000002</v>
      </c>
      <c r="AD420" s="34">
        <f>AA420/Z420</f>
        <v>1.1061452513966481</v>
      </c>
      <c r="AE420" s="34">
        <f>AB420/AA420</f>
        <v>1.1212121212121211</v>
      </c>
      <c r="AF420" s="35">
        <f>AB420/R420</f>
        <v>1.1100000000000001</v>
      </c>
      <c r="AG420" s="29">
        <f>0.6*Z420+0.4*AA420</f>
        <v>186.6</v>
      </c>
      <c r="AH420" s="54">
        <v>1244</v>
      </c>
      <c r="AI420" s="59">
        <f>AH420/AG420</f>
        <v>6.666666666666667</v>
      </c>
      <c r="AJ420" s="61">
        <f>AI420/AI$488</f>
        <v>1.4166955087552733</v>
      </c>
    </row>
    <row r="421" spans="1:36" ht="15" customHeight="1" x14ac:dyDescent="0.2">
      <c r="A421" s="28" t="s">
        <v>148</v>
      </c>
      <c r="B421" s="28"/>
      <c r="C421" s="28" t="s">
        <v>117</v>
      </c>
      <c r="D421" s="28">
        <v>3</v>
      </c>
      <c r="E421" s="27"/>
      <c r="F421" s="27"/>
      <c r="G421" s="27" t="s">
        <v>138</v>
      </c>
      <c r="H421" s="27">
        <v>9</v>
      </c>
      <c r="I421" s="27" t="s">
        <v>619</v>
      </c>
      <c r="J421" s="27">
        <v>9</v>
      </c>
      <c r="K421" s="27">
        <v>3</v>
      </c>
      <c r="L421" s="27">
        <v>48</v>
      </c>
      <c r="M421" s="29">
        <v>24</v>
      </c>
      <c r="N421" s="30">
        <v>26</v>
      </c>
      <c r="O421" s="30">
        <v>99</v>
      </c>
      <c r="P421" s="30">
        <v>7</v>
      </c>
      <c r="Q421" s="30">
        <v>60</v>
      </c>
      <c r="R421" s="30">
        <v>166</v>
      </c>
      <c r="S421" s="31">
        <f>R421/N421</f>
        <v>6.384615384615385</v>
      </c>
      <c r="T421" s="32">
        <f>O421/R421</f>
        <v>0.59638554216867468</v>
      </c>
      <c r="U421" s="32">
        <f>P421/R421</f>
        <v>4.2168674698795178E-2</v>
      </c>
      <c r="V421" s="32">
        <f>Q421/R421</f>
        <v>0.36144578313253012</v>
      </c>
      <c r="W421" s="31">
        <f>P421/O421</f>
        <v>7.0707070707070704E-2</v>
      </c>
      <c r="X421" s="31">
        <f>Q421/(O421+P421)</f>
        <v>0.56603773584905659</v>
      </c>
      <c r="Y421" s="65">
        <f>R421/R$488</f>
        <v>4.8222310662069084E-4</v>
      </c>
      <c r="Z421" s="33">
        <v>204</v>
      </c>
      <c r="AA421" s="33">
        <v>256</v>
      </c>
      <c r="AB421" s="29">
        <v>293</v>
      </c>
      <c r="AC421" s="34">
        <f>Z421/R421</f>
        <v>1.2289156626506024</v>
      </c>
      <c r="AD421" s="34">
        <f>AA421/Z421</f>
        <v>1.2549019607843137</v>
      </c>
      <c r="AE421" s="34">
        <f>AB421/AA421</f>
        <v>1.14453125</v>
      </c>
      <c r="AF421" s="35">
        <f>AB421/R421</f>
        <v>1.7650602409638554</v>
      </c>
      <c r="AG421" s="29">
        <f>0.6*Z421+0.4*AA421</f>
        <v>224.8</v>
      </c>
      <c r="AH421" s="54">
        <v>1064</v>
      </c>
      <c r="AI421" s="59">
        <f>AH421/AG421</f>
        <v>4.7330960854092528</v>
      </c>
      <c r="AJ421" s="61">
        <f>AI421/AI$488</f>
        <v>1.0058033950059679</v>
      </c>
    </row>
    <row r="422" spans="1:36" ht="15" customHeight="1" x14ac:dyDescent="0.2">
      <c r="A422" s="28" t="s">
        <v>307</v>
      </c>
      <c r="B422" s="28"/>
      <c r="C422" s="28" t="s">
        <v>119</v>
      </c>
      <c r="D422" s="28">
        <v>31</v>
      </c>
      <c r="E422" s="27"/>
      <c r="F422" s="27"/>
      <c r="G422" s="27" t="s">
        <v>332</v>
      </c>
      <c r="H422" s="27">
        <v>18</v>
      </c>
      <c r="I422" s="27" t="s">
        <v>621</v>
      </c>
      <c r="J422" s="27">
        <v>7</v>
      </c>
      <c r="K422" s="27">
        <v>3</v>
      </c>
      <c r="L422" s="27">
        <v>51</v>
      </c>
      <c r="M422" s="29">
        <v>31</v>
      </c>
      <c r="N422" s="30">
        <v>35</v>
      </c>
      <c r="O422" s="30">
        <v>51</v>
      </c>
      <c r="P422" s="30">
        <v>0</v>
      </c>
      <c r="Q422" s="30">
        <v>104</v>
      </c>
      <c r="R422" s="30">
        <v>155</v>
      </c>
      <c r="S422" s="31">
        <f>R422/N422</f>
        <v>4.4285714285714288</v>
      </c>
      <c r="T422" s="32">
        <f>O422/R422</f>
        <v>0.32903225806451614</v>
      </c>
      <c r="U422" s="32">
        <f>P422/R422</f>
        <v>0</v>
      </c>
      <c r="V422" s="32">
        <f>Q422/R422</f>
        <v>0.67096774193548392</v>
      </c>
      <c r="W422" s="31">
        <f>P422/O422</f>
        <v>0</v>
      </c>
      <c r="X422" s="31">
        <f>Q422/(O422+P422)</f>
        <v>2.0392156862745097</v>
      </c>
      <c r="Y422" s="65">
        <f>R422/R$488</f>
        <v>4.5026856341088607E-4</v>
      </c>
      <c r="Z422" s="33">
        <v>185</v>
      </c>
      <c r="AA422" s="33">
        <v>168</v>
      </c>
      <c r="AB422" s="29">
        <v>219</v>
      </c>
      <c r="AC422" s="34">
        <f>Z422/R422</f>
        <v>1.1935483870967742</v>
      </c>
      <c r="AD422" s="34">
        <f>AA422/Z422</f>
        <v>0.90810810810810816</v>
      </c>
      <c r="AE422" s="34">
        <f>AB422/AA422</f>
        <v>1.3035714285714286</v>
      </c>
      <c r="AF422" s="35">
        <f>AB422/R422</f>
        <v>1.4129032258064516</v>
      </c>
      <c r="AG422" s="29">
        <f>0.6*Z422+0.4*AA422</f>
        <v>178.2</v>
      </c>
      <c r="AH422" s="54">
        <v>1603</v>
      </c>
      <c r="AI422" s="59">
        <f>AH422/AG422</f>
        <v>8.9955106621773293</v>
      </c>
      <c r="AJ422" s="61">
        <f>AI422/AI$488</f>
        <v>1.9115849331100194</v>
      </c>
    </row>
    <row r="423" spans="1:36" ht="15" customHeight="1" x14ac:dyDescent="0.2">
      <c r="A423" s="28" t="s">
        <v>149</v>
      </c>
      <c r="B423" s="28"/>
      <c r="C423" s="28" t="s">
        <v>117</v>
      </c>
      <c r="D423" s="28">
        <v>3</v>
      </c>
      <c r="E423" s="27"/>
      <c r="F423" s="27"/>
      <c r="G423" s="27" t="s">
        <v>138</v>
      </c>
      <c r="H423" s="27">
        <v>9</v>
      </c>
      <c r="I423" s="27" t="s">
        <v>619</v>
      </c>
      <c r="J423" s="27">
        <v>9</v>
      </c>
      <c r="K423" s="27">
        <v>3</v>
      </c>
      <c r="L423" s="27">
        <v>47</v>
      </c>
      <c r="M423" s="29">
        <v>60</v>
      </c>
      <c r="N423" s="30">
        <v>64</v>
      </c>
      <c r="O423" s="30">
        <v>150</v>
      </c>
      <c r="P423" s="30">
        <v>8</v>
      </c>
      <c r="Q423" s="30">
        <v>172</v>
      </c>
      <c r="R423" s="30">
        <v>330</v>
      </c>
      <c r="S423" s="31">
        <f>R423/N423</f>
        <v>5.15625</v>
      </c>
      <c r="T423" s="32">
        <f>O423/R423</f>
        <v>0.45454545454545453</v>
      </c>
      <c r="U423" s="32">
        <f>P423/R423</f>
        <v>2.4242424242424242E-2</v>
      </c>
      <c r="V423" s="32">
        <f>Q423/R423</f>
        <v>0.52121212121212124</v>
      </c>
      <c r="W423" s="31">
        <f>P423/O423</f>
        <v>5.3333333333333337E-2</v>
      </c>
      <c r="X423" s="31">
        <f>Q423/(O423+P423)</f>
        <v>1.0886075949367089</v>
      </c>
      <c r="Y423" s="65">
        <f>R423/R$488</f>
        <v>9.5863629629414451E-4</v>
      </c>
      <c r="Z423" s="33">
        <v>383</v>
      </c>
      <c r="AA423" s="33">
        <v>517</v>
      </c>
      <c r="AB423" s="29">
        <v>546</v>
      </c>
      <c r="AC423" s="34">
        <f>Z423/R423</f>
        <v>1.1606060606060606</v>
      </c>
      <c r="AD423" s="34">
        <f>AA423/Z423</f>
        <v>1.3498694516971279</v>
      </c>
      <c r="AE423" s="34">
        <f>AB423/AA423</f>
        <v>1.0560928433268859</v>
      </c>
      <c r="AF423" s="35">
        <f>AB423/R423</f>
        <v>1.6545454545454545</v>
      </c>
      <c r="AG423" s="29">
        <f>0.6*Z423+0.4*AA423</f>
        <v>436.6</v>
      </c>
      <c r="AH423" s="54">
        <v>1032</v>
      </c>
      <c r="AI423" s="59">
        <f>AH423/AG423</f>
        <v>2.363719651855245</v>
      </c>
      <c r="AJ423" s="61">
        <f>AI423/AI$488</f>
        <v>0.50230065221098552</v>
      </c>
    </row>
    <row r="424" spans="1:36" ht="15" customHeight="1" x14ac:dyDescent="0.2">
      <c r="A424" s="27" t="s">
        <v>473</v>
      </c>
      <c r="B424" s="27">
        <v>4</v>
      </c>
      <c r="C424" s="28" t="s">
        <v>323</v>
      </c>
      <c r="D424" s="28">
        <v>1</v>
      </c>
      <c r="E424" s="27" t="s">
        <v>421</v>
      </c>
      <c r="F424" s="27"/>
      <c r="G424" s="27" t="s">
        <v>336</v>
      </c>
      <c r="H424" s="27">
        <v>10</v>
      </c>
      <c r="I424" s="27" t="s">
        <v>627</v>
      </c>
      <c r="J424" s="27">
        <v>99</v>
      </c>
      <c r="K424" s="27">
        <v>7</v>
      </c>
      <c r="L424" s="27">
        <v>32</v>
      </c>
      <c r="M424" s="29">
        <v>217</v>
      </c>
      <c r="N424" s="30">
        <v>231</v>
      </c>
      <c r="O424" s="30">
        <v>276</v>
      </c>
      <c r="P424" s="30">
        <v>351</v>
      </c>
      <c r="Q424" s="30">
        <v>465</v>
      </c>
      <c r="R424" s="30">
        <v>1092</v>
      </c>
      <c r="S424" s="31">
        <f>R424/N424</f>
        <v>4.7272727272727275</v>
      </c>
      <c r="T424" s="32">
        <f>O424/R424</f>
        <v>0.25274725274725274</v>
      </c>
      <c r="U424" s="32">
        <f>P424/R424</f>
        <v>0.32142857142857145</v>
      </c>
      <c r="V424" s="32">
        <f>Q424/R424</f>
        <v>0.42582417582417581</v>
      </c>
      <c r="W424" s="31">
        <f>P424/O424</f>
        <v>1.2717391304347827</v>
      </c>
      <c r="X424" s="31">
        <f>Q424/(O424+P424)</f>
        <v>0.74162679425837319</v>
      </c>
      <c r="Y424" s="65">
        <f>R424/R$488</f>
        <v>3.1722146531915326E-3</v>
      </c>
      <c r="Z424" s="29">
        <v>1189</v>
      </c>
      <c r="AA424" s="29">
        <v>1322</v>
      </c>
      <c r="AB424" s="29">
        <v>1368</v>
      </c>
      <c r="AC424" s="34">
        <f>Z424/R424</f>
        <v>1.0888278388278387</v>
      </c>
      <c r="AD424" s="34">
        <f>AA424/Z424</f>
        <v>1.1118587047939446</v>
      </c>
      <c r="AE424" s="34">
        <f>AB424/AA424</f>
        <v>1.0347957639939485</v>
      </c>
      <c r="AF424" s="35">
        <f>AB424/R424</f>
        <v>1.2527472527472527</v>
      </c>
      <c r="AG424" s="29">
        <f>0.6*Z424+0.4*AA424</f>
        <v>1242.2</v>
      </c>
      <c r="AH424" s="54">
        <v>5162</v>
      </c>
      <c r="AI424" s="59">
        <f>AH424/AG424</f>
        <v>4.1555305103848008</v>
      </c>
      <c r="AJ424" s="61">
        <f>AI424/AI$488</f>
        <v>0.88306821158364834</v>
      </c>
    </row>
    <row r="425" spans="1:36" ht="15" customHeight="1" x14ac:dyDescent="0.2">
      <c r="A425" s="27" t="s">
        <v>96</v>
      </c>
      <c r="B425" s="27"/>
      <c r="C425" s="27" t="s">
        <v>122</v>
      </c>
      <c r="D425" s="28">
        <v>15</v>
      </c>
      <c r="E425" s="27"/>
      <c r="F425" s="27" t="s">
        <v>481</v>
      </c>
      <c r="G425" s="27" t="s">
        <v>201</v>
      </c>
      <c r="H425" s="27">
        <v>3</v>
      </c>
      <c r="I425" s="27" t="s">
        <v>621</v>
      </c>
      <c r="J425" s="27">
        <v>7</v>
      </c>
      <c r="K425" s="27">
        <v>6</v>
      </c>
      <c r="L425" s="27">
        <v>67</v>
      </c>
      <c r="M425" s="29">
        <v>306</v>
      </c>
      <c r="N425" s="30">
        <v>306</v>
      </c>
      <c r="O425" s="30">
        <v>142</v>
      </c>
      <c r="P425" s="30">
        <v>127</v>
      </c>
      <c r="Q425" s="30">
        <v>899</v>
      </c>
      <c r="R425" s="30">
        <v>1168</v>
      </c>
      <c r="S425" s="31">
        <f>R425/N425</f>
        <v>3.8169934640522878</v>
      </c>
      <c r="T425" s="32">
        <f>O425/R425</f>
        <v>0.12157534246575342</v>
      </c>
      <c r="U425" s="32">
        <f>P425/R425</f>
        <v>0.10873287671232877</v>
      </c>
      <c r="V425" s="32">
        <f>Q425/R425</f>
        <v>0.7696917808219178</v>
      </c>
      <c r="W425" s="31">
        <f>P425/O425</f>
        <v>0.89436619718309862</v>
      </c>
      <c r="X425" s="31">
        <f>Q425/(O425+P425)</f>
        <v>3.3420074349442381</v>
      </c>
      <c r="Y425" s="65">
        <f>R425/R$488</f>
        <v>3.3929914971865477E-3</v>
      </c>
      <c r="Z425" s="29">
        <v>1248</v>
      </c>
      <c r="AA425" s="29">
        <v>1317</v>
      </c>
      <c r="AB425" s="29">
        <v>1455</v>
      </c>
      <c r="AC425" s="34">
        <f>Z425/R425</f>
        <v>1.0684931506849316</v>
      </c>
      <c r="AD425" s="34">
        <f>AA425/Z425</f>
        <v>1.0552884615384615</v>
      </c>
      <c r="AE425" s="34">
        <f>AB425/AA425</f>
        <v>1.1047835990888382</v>
      </c>
      <c r="AF425" s="35">
        <f>AB425/R425</f>
        <v>1.2457191780821917</v>
      </c>
      <c r="AG425" s="29">
        <f>0.6*Z425+0.4*AA425</f>
        <v>1275.5999999999999</v>
      </c>
      <c r="AH425" s="54">
        <v>6127</v>
      </c>
      <c r="AI425" s="59">
        <f>AH425/AG425</f>
        <v>4.8032298526183759</v>
      </c>
      <c r="AJ425" s="61">
        <f>AI425/AI$488</f>
        <v>1.0207071239585559</v>
      </c>
    </row>
    <row r="426" spans="1:36" ht="15" customHeight="1" x14ac:dyDescent="0.2">
      <c r="A426" s="27" t="s">
        <v>5</v>
      </c>
      <c r="B426" s="27"/>
      <c r="C426" s="27" t="s">
        <v>116</v>
      </c>
      <c r="D426" s="27">
        <v>32</v>
      </c>
      <c r="E426" s="27"/>
      <c r="F426" s="27"/>
      <c r="G426" s="27" t="s">
        <v>50</v>
      </c>
      <c r="H426" s="27">
        <v>7</v>
      </c>
      <c r="I426" s="27" t="s">
        <v>622</v>
      </c>
      <c r="J426" s="27">
        <v>8</v>
      </c>
      <c r="K426" s="27">
        <v>5</v>
      </c>
      <c r="L426" s="27">
        <v>10</v>
      </c>
      <c r="M426" s="29">
        <v>57</v>
      </c>
      <c r="N426" s="30">
        <v>57</v>
      </c>
      <c r="O426" s="30">
        <v>316</v>
      </c>
      <c r="P426" s="30">
        <v>14</v>
      </c>
      <c r="Q426" s="30">
        <v>1</v>
      </c>
      <c r="R426" s="30">
        <v>331</v>
      </c>
      <c r="S426" s="31">
        <f>R426/N426</f>
        <v>5.807017543859649</v>
      </c>
      <c r="T426" s="32">
        <f>O426/R426</f>
        <v>0.9546827794561934</v>
      </c>
      <c r="U426" s="32">
        <f>P426/R426</f>
        <v>4.2296072507552872E-2</v>
      </c>
      <c r="V426" s="32">
        <f>Q426/R426</f>
        <v>3.0211480362537764E-3</v>
      </c>
      <c r="W426" s="31">
        <f>P426/O426</f>
        <v>4.4303797468354431E-2</v>
      </c>
      <c r="X426" s="31">
        <f>Q426/(O426+P426)</f>
        <v>3.0303030303030303E-3</v>
      </c>
      <c r="Y426" s="65">
        <f>R426/R$488</f>
        <v>9.6154125476776309E-4</v>
      </c>
      <c r="Z426" s="33">
        <v>352</v>
      </c>
      <c r="AA426" s="33">
        <v>386</v>
      </c>
      <c r="AB426" s="29">
        <v>460</v>
      </c>
      <c r="AC426" s="34">
        <f>Z426/R426</f>
        <v>1.0634441087613293</v>
      </c>
      <c r="AD426" s="34">
        <f>AA426/Z426</f>
        <v>1.0965909090909092</v>
      </c>
      <c r="AE426" s="34">
        <f>AB426/AA426</f>
        <v>1.1917098445595855</v>
      </c>
      <c r="AF426" s="35">
        <f>AB426/R426</f>
        <v>1.3897280966767371</v>
      </c>
      <c r="AG426" s="29">
        <f>0.6*Z426+0.4*AA426</f>
        <v>365.6</v>
      </c>
      <c r="AH426" s="54">
        <v>1594</v>
      </c>
      <c r="AI426" s="59">
        <f>AH426/AG426</f>
        <v>4.3599562363238507</v>
      </c>
      <c r="AJ426" s="61">
        <f>AI426/AI$488</f>
        <v>0.9265095627554315</v>
      </c>
    </row>
    <row r="427" spans="1:36" ht="15" customHeight="1" x14ac:dyDescent="0.2">
      <c r="A427" s="28" t="s">
        <v>233</v>
      </c>
      <c r="B427" s="28"/>
      <c r="C427" s="28" t="s">
        <v>121</v>
      </c>
      <c r="D427" s="28">
        <v>18</v>
      </c>
      <c r="E427" s="27"/>
      <c r="F427" s="27"/>
      <c r="G427" s="27" t="s">
        <v>126</v>
      </c>
      <c r="H427" s="27">
        <v>20</v>
      </c>
      <c r="I427" s="27" t="s">
        <v>622</v>
      </c>
      <c r="J427" s="27">
        <v>8</v>
      </c>
      <c r="K427" s="27">
        <v>3</v>
      </c>
      <c r="L427" s="27">
        <v>49</v>
      </c>
      <c r="M427" s="29">
        <v>55</v>
      </c>
      <c r="N427" s="30">
        <v>69</v>
      </c>
      <c r="O427" s="30">
        <v>112</v>
      </c>
      <c r="P427" s="30">
        <v>19</v>
      </c>
      <c r="Q427" s="30">
        <v>286</v>
      </c>
      <c r="R427" s="30">
        <v>417</v>
      </c>
      <c r="S427" s="31">
        <f>R427/N427</f>
        <v>6.0434782608695654</v>
      </c>
      <c r="T427" s="32">
        <f>O427/R427</f>
        <v>0.26858513189448441</v>
      </c>
      <c r="U427" s="32">
        <f>P427/R427</f>
        <v>4.5563549160671464E-2</v>
      </c>
      <c r="V427" s="32">
        <f>Q427/R427</f>
        <v>0.68585131894484408</v>
      </c>
      <c r="W427" s="31">
        <f>P427/O427</f>
        <v>0.16964285714285715</v>
      </c>
      <c r="X427" s="31">
        <f>Q427/(O427+P427)</f>
        <v>2.1832061068702289</v>
      </c>
      <c r="Y427" s="65">
        <f>R427/R$488</f>
        <v>1.2113676834989643E-3</v>
      </c>
      <c r="Z427" s="33">
        <v>385</v>
      </c>
      <c r="AA427" s="33">
        <v>397</v>
      </c>
      <c r="AB427" s="29">
        <v>353</v>
      </c>
      <c r="AC427" s="34">
        <f>Z427/R427</f>
        <v>0.9232613908872902</v>
      </c>
      <c r="AD427" s="34">
        <f>AA427/Z427</f>
        <v>1.0311688311688312</v>
      </c>
      <c r="AE427" s="34">
        <f>AB427/AA427</f>
        <v>0.88916876574307302</v>
      </c>
      <c r="AF427" s="35">
        <f>AB427/R427</f>
        <v>0.84652278177458029</v>
      </c>
      <c r="AG427" s="29">
        <f>0.6*Z427+0.4*AA427</f>
        <v>389.8</v>
      </c>
      <c r="AH427" s="54">
        <v>2065</v>
      </c>
      <c r="AI427" s="59">
        <f>AH427/AG427</f>
        <v>5.2975885069266289</v>
      </c>
      <c r="AJ427" s="61">
        <f>AI427/AI$488</f>
        <v>1.1257604767494762</v>
      </c>
    </row>
    <row r="428" spans="1:36" ht="15" customHeight="1" x14ac:dyDescent="0.2">
      <c r="A428" s="28" t="s">
        <v>285</v>
      </c>
      <c r="B428" s="28"/>
      <c r="C428" s="28" t="s">
        <v>110</v>
      </c>
      <c r="D428" s="27">
        <v>26</v>
      </c>
      <c r="E428" s="27"/>
      <c r="F428" s="27"/>
      <c r="G428" s="27" t="s">
        <v>287</v>
      </c>
      <c r="H428" s="27">
        <v>25</v>
      </c>
      <c r="I428" s="27" t="s">
        <v>624</v>
      </c>
      <c r="J428" s="27">
        <v>4</v>
      </c>
      <c r="K428" s="27">
        <v>4</v>
      </c>
      <c r="L428" s="27">
        <v>103</v>
      </c>
      <c r="M428" s="29">
        <v>65</v>
      </c>
      <c r="N428" s="30">
        <v>74</v>
      </c>
      <c r="O428" s="30">
        <v>138</v>
      </c>
      <c r="P428" s="30">
        <v>61</v>
      </c>
      <c r="Q428" s="30">
        <v>157</v>
      </c>
      <c r="R428" s="30">
        <v>356</v>
      </c>
      <c r="S428" s="31">
        <f>R428/N428</f>
        <v>4.8108108108108105</v>
      </c>
      <c r="T428" s="32">
        <f>O428/R428</f>
        <v>0.38764044943820225</v>
      </c>
      <c r="U428" s="32">
        <f>P428/R428</f>
        <v>0.17134831460674158</v>
      </c>
      <c r="V428" s="32">
        <f>Q428/R428</f>
        <v>0.4410112359550562</v>
      </c>
      <c r="W428" s="31">
        <f>P428/O428</f>
        <v>0.4420289855072464</v>
      </c>
      <c r="X428" s="31">
        <f>Q428/(O428+P428)</f>
        <v>0.78894472361809043</v>
      </c>
      <c r="Y428" s="65">
        <f>R428/R$488</f>
        <v>1.0341652166082286E-3</v>
      </c>
      <c r="Z428" s="33">
        <v>392</v>
      </c>
      <c r="AA428" s="33">
        <v>426</v>
      </c>
      <c r="AB428" s="29">
        <v>466</v>
      </c>
      <c r="AC428" s="34">
        <f>Z428/R428</f>
        <v>1.101123595505618</v>
      </c>
      <c r="AD428" s="34">
        <f>AA428/Z428</f>
        <v>1.0867346938775511</v>
      </c>
      <c r="AE428" s="34">
        <f>AB428/AA428</f>
        <v>1.0938967136150235</v>
      </c>
      <c r="AF428" s="35">
        <f>AB428/R428</f>
        <v>1.3089887640449438</v>
      </c>
      <c r="AG428" s="29">
        <f>0.6*Z428+0.4*AA428</f>
        <v>405.6</v>
      </c>
      <c r="AH428" s="54">
        <v>2970</v>
      </c>
      <c r="AI428" s="59">
        <f>AH428/AG428</f>
        <v>7.3224852071005913</v>
      </c>
      <c r="AJ428" s="61">
        <f>AI428/AI$488</f>
        <v>1.55605978587395</v>
      </c>
    </row>
    <row r="429" spans="1:36" ht="15" customHeight="1" x14ac:dyDescent="0.2">
      <c r="A429" s="27" t="s">
        <v>333</v>
      </c>
      <c r="B429" s="27"/>
      <c r="C429" s="27" t="s">
        <v>333</v>
      </c>
      <c r="D429" s="27">
        <v>29</v>
      </c>
      <c r="E429" s="27" t="s">
        <v>420</v>
      </c>
      <c r="F429" s="27"/>
      <c r="G429" s="27" t="s">
        <v>333</v>
      </c>
      <c r="H429" s="27">
        <v>22</v>
      </c>
      <c r="I429" s="27" t="s">
        <v>621</v>
      </c>
      <c r="J429" s="27">
        <v>7</v>
      </c>
      <c r="K429" s="27">
        <v>2</v>
      </c>
      <c r="L429" s="27">
        <v>80</v>
      </c>
      <c r="M429" s="29">
        <v>1221</v>
      </c>
      <c r="N429" s="30">
        <v>1397</v>
      </c>
      <c r="O429" s="30">
        <v>1089</v>
      </c>
      <c r="P429" s="30">
        <v>1617</v>
      </c>
      <c r="Q429" s="30">
        <v>3799</v>
      </c>
      <c r="R429" s="30">
        <v>6505</v>
      </c>
      <c r="S429" s="31">
        <f>R429/N429</f>
        <v>4.6564065855404442</v>
      </c>
      <c r="T429" s="32">
        <f>O429/R429</f>
        <v>0.16740968485780169</v>
      </c>
      <c r="U429" s="32">
        <f>P429/R429</f>
        <v>0.24857801691006917</v>
      </c>
      <c r="V429" s="32">
        <f>Q429/R429</f>
        <v>0.58401229823212908</v>
      </c>
      <c r="W429" s="31">
        <f>P429/O429</f>
        <v>1.4848484848484849</v>
      </c>
      <c r="X429" s="31">
        <f>Q429/(O429+P429)</f>
        <v>1.4039172209903916</v>
      </c>
      <c r="Y429" s="65">
        <f>R429/R$488</f>
        <v>1.8896754870889119E-2</v>
      </c>
      <c r="Z429" s="29">
        <v>6732</v>
      </c>
      <c r="AA429" s="29">
        <v>8651</v>
      </c>
      <c r="AB429" s="29">
        <v>9766</v>
      </c>
      <c r="AC429" s="34">
        <f>Z429/R429</f>
        <v>1.0348962336664105</v>
      </c>
      <c r="AD429" s="34">
        <f>AA429/Z429</f>
        <v>1.2850564468211527</v>
      </c>
      <c r="AE429" s="34">
        <f>AB429/AA429</f>
        <v>1.1288868338920357</v>
      </c>
      <c r="AF429" s="35">
        <f>AB429/R429</f>
        <v>1.5013066871637202</v>
      </c>
      <c r="AG429" s="29">
        <f>0.6*Z429+0.4*AA429</f>
        <v>7499.6</v>
      </c>
      <c r="AH429" s="54">
        <v>14011</v>
      </c>
      <c r="AI429" s="59">
        <f>AH429/AG429</f>
        <v>1.8682329724251958</v>
      </c>
      <c r="AJ429" s="61">
        <f>AI429/AI$488</f>
        <v>0.39700758920149337</v>
      </c>
    </row>
    <row r="430" spans="1:36" ht="15" customHeight="1" x14ac:dyDescent="0.2">
      <c r="A430" s="27" t="s">
        <v>95</v>
      </c>
      <c r="B430" s="27"/>
      <c r="C430" s="27" t="s">
        <v>116</v>
      </c>
      <c r="D430" s="27">
        <v>32</v>
      </c>
      <c r="E430" s="27" t="s">
        <v>420</v>
      </c>
      <c r="F430" s="27"/>
      <c r="G430" s="27" t="s">
        <v>172</v>
      </c>
      <c r="H430" s="27">
        <v>1</v>
      </c>
      <c r="I430" s="27" t="s">
        <v>12</v>
      </c>
      <c r="J430" s="27">
        <v>1</v>
      </c>
      <c r="K430" s="27">
        <v>6</v>
      </c>
      <c r="L430" s="27">
        <v>69</v>
      </c>
      <c r="M430" s="29">
        <v>462</v>
      </c>
      <c r="N430" s="30">
        <v>625</v>
      </c>
      <c r="O430" s="30">
        <v>98</v>
      </c>
      <c r="P430" s="30">
        <v>449</v>
      </c>
      <c r="Q430" s="30">
        <v>2201</v>
      </c>
      <c r="R430" s="30">
        <v>2748</v>
      </c>
      <c r="S430" s="31">
        <f>R430/N430</f>
        <v>4.3967999999999998</v>
      </c>
      <c r="T430" s="32">
        <f>O430/R430</f>
        <v>3.566229985443959E-2</v>
      </c>
      <c r="U430" s="32">
        <f>P430/R430</f>
        <v>0.163391557496361</v>
      </c>
      <c r="V430" s="32">
        <f>Q430/R430</f>
        <v>0.80094614264919939</v>
      </c>
      <c r="W430" s="31">
        <f>P430/O430</f>
        <v>4.5816326530612246</v>
      </c>
      <c r="X430" s="31">
        <f>Q430/(O430+P430)</f>
        <v>4.0237659963436929</v>
      </c>
      <c r="Y430" s="65">
        <f>R430/R$488</f>
        <v>7.982825885503966E-3</v>
      </c>
      <c r="Z430" s="29">
        <v>2871</v>
      </c>
      <c r="AA430" s="29">
        <v>3156</v>
      </c>
      <c r="AB430" s="29">
        <v>3184</v>
      </c>
      <c r="AC430" s="34">
        <f>Z430/R430</f>
        <v>1.044759825327511</v>
      </c>
      <c r="AD430" s="34">
        <f>AA430/Z430</f>
        <v>1.0992685475444097</v>
      </c>
      <c r="AE430" s="34">
        <f>AB430/AA430</f>
        <v>1.0088719898605829</v>
      </c>
      <c r="AF430" s="35">
        <f>AB430/R430</f>
        <v>1.1586608442503639</v>
      </c>
      <c r="AG430" s="29">
        <f>0.6*Z430+0.4*AA430</f>
        <v>2985</v>
      </c>
      <c r="AH430" s="54">
        <v>9169</v>
      </c>
      <c r="AI430" s="59">
        <f>AH430/AG430</f>
        <v>3.0716917922948075</v>
      </c>
      <c r="AJ430" s="61">
        <f>AI430/AI$488</f>
        <v>0.65274779496367341</v>
      </c>
    </row>
    <row r="431" spans="1:36" ht="15" customHeight="1" x14ac:dyDescent="0.2">
      <c r="A431" s="28" t="s">
        <v>68</v>
      </c>
      <c r="B431" s="28"/>
      <c r="C431" s="28" t="s">
        <v>113</v>
      </c>
      <c r="D431" s="28">
        <v>16</v>
      </c>
      <c r="E431" s="27"/>
      <c r="F431" s="27"/>
      <c r="G431" s="27" t="s">
        <v>73</v>
      </c>
      <c r="H431" s="27">
        <v>11</v>
      </c>
      <c r="I431" s="27" t="s">
        <v>111</v>
      </c>
      <c r="J431" s="27">
        <v>5</v>
      </c>
      <c r="K431" s="27">
        <v>4</v>
      </c>
      <c r="L431" s="27">
        <v>105</v>
      </c>
      <c r="M431" s="29">
        <v>36</v>
      </c>
      <c r="N431" s="30">
        <v>41</v>
      </c>
      <c r="O431" s="30">
        <v>105</v>
      </c>
      <c r="P431" s="30">
        <v>21</v>
      </c>
      <c r="Q431" s="30">
        <v>132</v>
      </c>
      <c r="R431" s="30">
        <v>258</v>
      </c>
      <c r="S431" s="31">
        <f>R431/N431</f>
        <v>6.2926829268292686</v>
      </c>
      <c r="T431" s="32">
        <f>O431/R431</f>
        <v>0.40697674418604651</v>
      </c>
      <c r="U431" s="32">
        <f>P431/R431</f>
        <v>8.1395348837209308E-2</v>
      </c>
      <c r="V431" s="32">
        <f>Q431/R431</f>
        <v>0.51162790697674421</v>
      </c>
      <c r="W431" s="31">
        <f>P431/O431</f>
        <v>0.2</v>
      </c>
      <c r="X431" s="31">
        <f>Q431/(O431+P431)</f>
        <v>1.0476190476190477</v>
      </c>
      <c r="Y431" s="65">
        <f>R431/R$488</f>
        <v>7.4947928619360392E-4</v>
      </c>
      <c r="Z431" s="33">
        <v>280</v>
      </c>
      <c r="AA431" s="33">
        <v>277</v>
      </c>
      <c r="AB431" s="29">
        <v>257</v>
      </c>
      <c r="AC431" s="34">
        <f>Z431/R431</f>
        <v>1.0852713178294573</v>
      </c>
      <c r="AD431" s="34">
        <f>AA431/Z431</f>
        <v>0.98928571428571432</v>
      </c>
      <c r="AE431" s="34">
        <f>AB431/AA431</f>
        <v>0.92779783393501802</v>
      </c>
      <c r="AF431" s="35">
        <f>AB431/R431</f>
        <v>0.99612403100775193</v>
      </c>
      <c r="AG431" s="29">
        <f>0.6*Z431+0.4*AA431</f>
        <v>278.8</v>
      </c>
      <c r="AH431" s="54">
        <v>3210</v>
      </c>
      <c r="AI431" s="59">
        <f>AH431/AG431</f>
        <v>11.513629842180775</v>
      </c>
      <c r="AJ431" s="61">
        <f>AI431/AI$488</f>
        <v>2.4466961530332281</v>
      </c>
    </row>
    <row r="432" spans="1:36" ht="15" customHeight="1" x14ac:dyDescent="0.2">
      <c r="A432" s="27" t="s">
        <v>215</v>
      </c>
      <c r="B432" s="27"/>
      <c r="C432" s="27" t="s">
        <v>113</v>
      </c>
      <c r="D432" s="28">
        <v>16</v>
      </c>
      <c r="E432" s="27"/>
      <c r="F432" s="27"/>
      <c r="G432" s="27" t="s">
        <v>73</v>
      </c>
      <c r="H432" s="27">
        <v>11</v>
      </c>
      <c r="I432" s="27" t="s">
        <v>623</v>
      </c>
      <c r="J432" s="27">
        <v>3</v>
      </c>
      <c r="K432" s="27">
        <v>4</v>
      </c>
      <c r="L432" s="27">
        <v>106</v>
      </c>
      <c r="M432" s="29">
        <v>143</v>
      </c>
      <c r="N432" s="30">
        <v>188</v>
      </c>
      <c r="O432" s="30">
        <v>50</v>
      </c>
      <c r="P432" s="30">
        <v>81</v>
      </c>
      <c r="Q432" s="30">
        <v>707</v>
      </c>
      <c r="R432" s="30">
        <v>838</v>
      </c>
      <c r="S432" s="31">
        <f>R432/N432</f>
        <v>4.457446808510638</v>
      </c>
      <c r="T432" s="32">
        <f>O432/R432</f>
        <v>5.9665871121718374E-2</v>
      </c>
      <c r="U432" s="32">
        <f>P432/R432</f>
        <v>9.6658711217183765E-2</v>
      </c>
      <c r="V432" s="32">
        <f>Q432/R432</f>
        <v>0.84367541766109788</v>
      </c>
      <c r="W432" s="31">
        <f>P432/O432</f>
        <v>1.62</v>
      </c>
      <c r="X432" s="31">
        <f>Q432/(O432+P432)</f>
        <v>5.3969465648854964</v>
      </c>
      <c r="Y432" s="65">
        <f>R432/R$488</f>
        <v>2.4343552008924034E-3</v>
      </c>
      <c r="Z432" s="29">
        <v>1350</v>
      </c>
      <c r="AA432" s="29">
        <v>1925</v>
      </c>
      <c r="AB432" s="29">
        <v>3582</v>
      </c>
      <c r="AC432" s="34">
        <f>Z432/R432</f>
        <v>1.6109785202863962</v>
      </c>
      <c r="AD432" s="34">
        <f>AA432/Z432</f>
        <v>1.4259259259259258</v>
      </c>
      <c r="AE432" s="34">
        <f>AB432/AA432</f>
        <v>1.8607792207792209</v>
      </c>
      <c r="AF432" s="35">
        <f>AB432/R432</f>
        <v>4.2744630071599046</v>
      </c>
      <c r="AG432" s="29">
        <f>0.6*Z432+0.4*AA432</f>
        <v>1580</v>
      </c>
      <c r="AH432" s="54">
        <v>3516</v>
      </c>
      <c r="AI432" s="59">
        <f>AH432/AG432</f>
        <v>2.2253164556962024</v>
      </c>
      <c r="AJ432" s="61">
        <f>AI432/AI$488</f>
        <v>0.47288937425160188</v>
      </c>
    </row>
    <row r="433" spans="1:36" ht="15" customHeight="1" x14ac:dyDescent="0.2">
      <c r="A433" s="28" t="s">
        <v>54</v>
      </c>
      <c r="B433" s="28"/>
      <c r="C433" s="28" t="s">
        <v>113</v>
      </c>
      <c r="D433" s="28">
        <v>16</v>
      </c>
      <c r="E433" s="27"/>
      <c r="F433" s="27"/>
      <c r="G433" s="27" t="s">
        <v>73</v>
      </c>
      <c r="H433" s="27">
        <v>11</v>
      </c>
      <c r="I433" s="27" t="s">
        <v>623</v>
      </c>
      <c r="J433" s="27">
        <v>3</v>
      </c>
      <c r="K433" s="27">
        <v>4</v>
      </c>
      <c r="L433" s="27">
        <v>100</v>
      </c>
      <c r="M433" s="29">
        <v>172</v>
      </c>
      <c r="N433" s="30">
        <v>183</v>
      </c>
      <c r="O433" s="30">
        <v>198</v>
      </c>
      <c r="P433" s="30">
        <v>218</v>
      </c>
      <c r="Q433" s="30">
        <v>385</v>
      </c>
      <c r="R433" s="30">
        <v>801</v>
      </c>
      <c r="S433" s="31">
        <f>R433/N433</f>
        <v>4.3770491803278686</v>
      </c>
      <c r="T433" s="32">
        <f>O433/R433</f>
        <v>0.24719101123595505</v>
      </c>
      <c r="U433" s="32">
        <f>P433/R433</f>
        <v>0.27215980024968789</v>
      </c>
      <c r="V433" s="32">
        <f>Q433/R433</f>
        <v>0.48064918851435706</v>
      </c>
      <c r="W433" s="31">
        <f>P433/O433</f>
        <v>1.101010101010101</v>
      </c>
      <c r="X433" s="31">
        <f>Q433/(O433+P433)</f>
        <v>0.92548076923076927</v>
      </c>
      <c r="Y433" s="65">
        <f>R433/R$488</f>
        <v>2.3268717373685142E-3</v>
      </c>
      <c r="Z433" s="33">
        <v>909</v>
      </c>
      <c r="AA433" s="29">
        <v>1005</v>
      </c>
      <c r="AB433" s="29">
        <v>1204</v>
      </c>
      <c r="AC433" s="34">
        <f>Z433/R433</f>
        <v>1.1348314606741574</v>
      </c>
      <c r="AD433" s="34">
        <f>AA433/Z433</f>
        <v>1.1056105610561056</v>
      </c>
      <c r="AE433" s="34">
        <f>AB433/AA433</f>
        <v>1.1980099502487562</v>
      </c>
      <c r="AF433" s="35">
        <f>AB433/R433</f>
        <v>1.5031210986267165</v>
      </c>
      <c r="AG433" s="29">
        <f>0.6*Z433+0.4*AA433</f>
        <v>947.4</v>
      </c>
      <c r="AH433" s="54">
        <v>3830</v>
      </c>
      <c r="AI433" s="59">
        <f>AH433/AG433</f>
        <v>4.0426430230103438</v>
      </c>
      <c r="AJ433" s="61">
        <f>AI433/AI$488</f>
        <v>0.85907913212993914</v>
      </c>
    </row>
    <row r="434" spans="1:36" ht="15" customHeight="1" x14ac:dyDescent="0.2">
      <c r="A434" s="28" t="s">
        <v>26</v>
      </c>
      <c r="B434" s="28"/>
      <c r="C434" s="27" t="s">
        <v>112</v>
      </c>
      <c r="D434" s="27">
        <v>6</v>
      </c>
      <c r="E434" s="27" t="s">
        <v>420</v>
      </c>
      <c r="F434" s="27"/>
      <c r="G434" s="27" t="s">
        <v>26</v>
      </c>
      <c r="H434" s="27">
        <v>24</v>
      </c>
      <c r="I434" s="27" t="s">
        <v>624</v>
      </c>
      <c r="J434" s="27">
        <v>4</v>
      </c>
      <c r="K434" s="27">
        <v>4</v>
      </c>
      <c r="L434" s="27">
        <v>104</v>
      </c>
      <c r="M434" s="29">
        <v>295</v>
      </c>
      <c r="N434" s="30">
        <v>576</v>
      </c>
      <c r="O434" s="30">
        <v>105</v>
      </c>
      <c r="P434" s="30">
        <v>288</v>
      </c>
      <c r="Q434" s="30">
        <v>2110</v>
      </c>
      <c r="R434" s="30">
        <v>2503</v>
      </c>
      <c r="S434" s="31">
        <f>R434/N434</f>
        <v>4.3454861111111107</v>
      </c>
      <c r="T434" s="32">
        <f>O434/R434</f>
        <v>4.194966040751099E-2</v>
      </c>
      <c r="U434" s="32">
        <f>P434/R434</f>
        <v>0.11506192568917299</v>
      </c>
      <c r="V434" s="32">
        <f>Q434/R434</f>
        <v>0.84298841390331603</v>
      </c>
      <c r="W434" s="31">
        <f>P434/O434</f>
        <v>2.7428571428571429</v>
      </c>
      <c r="X434" s="31">
        <f>Q434/(O434+P434)</f>
        <v>5.3689567430025447</v>
      </c>
      <c r="Y434" s="65">
        <f>R434/R$488</f>
        <v>7.2711110594674052E-3</v>
      </c>
      <c r="Z434" s="29">
        <v>2725</v>
      </c>
      <c r="AA434" s="29">
        <v>3128</v>
      </c>
      <c r="AB434" s="29">
        <v>3422</v>
      </c>
      <c r="AC434" s="34">
        <f>Z434/R434</f>
        <v>1.0886935677187375</v>
      </c>
      <c r="AD434" s="34">
        <f>AA434/Z434</f>
        <v>1.1478899082568808</v>
      </c>
      <c r="AE434" s="34">
        <f>AB434/AA434</f>
        <v>1.093989769820972</v>
      </c>
      <c r="AF434" s="35">
        <f>AB434/R434</f>
        <v>1.3671594087095484</v>
      </c>
      <c r="AG434" s="29">
        <f>0.6*Z434+0.4*AA434</f>
        <v>2886.2</v>
      </c>
      <c r="AH434" s="54">
        <v>9268</v>
      </c>
      <c r="AI434" s="59">
        <f>AH434/AG434</f>
        <v>3.2111426789550275</v>
      </c>
      <c r="AJ434" s="61">
        <f>AI434/AI$488</f>
        <v>0.68238171168719453</v>
      </c>
    </row>
    <row r="435" spans="1:36" ht="15" customHeight="1" x14ac:dyDescent="0.2">
      <c r="A435" s="27" t="s">
        <v>367</v>
      </c>
      <c r="B435" s="27"/>
      <c r="C435" s="27" t="s">
        <v>325</v>
      </c>
      <c r="D435" s="27">
        <v>4</v>
      </c>
      <c r="E435" s="27"/>
      <c r="F435" s="27"/>
      <c r="G435" s="27" t="s">
        <v>331</v>
      </c>
      <c r="H435" s="27">
        <v>17</v>
      </c>
      <c r="I435" s="27" t="s">
        <v>620</v>
      </c>
      <c r="J435" s="27">
        <v>10</v>
      </c>
      <c r="K435" s="27">
        <v>1</v>
      </c>
      <c r="L435" s="27">
        <v>57</v>
      </c>
      <c r="M435" s="29">
        <v>23</v>
      </c>
      <c r="N435" s="30">
        <v>26</v>
      </c>
      <c r="O435" s="30">
        <v>34</v>
      </c>
      <c r="P435" s="30">
        <v>8</v>
      </c>
      <c r="Q435" s="30">
        <v>86</v>
      </c>
      <c r="R435" s="30">
        <v>128</v>
      </c>
      <c r="S435" s="31">
        <f>R435/N435</f>
        <v>4.9230769230769234</v>
      </c>
      <c r="T435" s="32">
        <f>O435/R435</f>
        <v>0.265625</v>
      </c>
      <c r="U435" s="32">
        <f>P435/R435</f>
        <v>6.25E-2</v>
      </c>
      <c r="V435" s="32">
        <f>Q435/R435</f>
        <v>0.671875</v>
      </c>
      <c r="W435" s="31">
        <f>P435/O435</f>
        <v>0.23529411764705882</v>
      </c>
      <c r="X435" s="31">
        <f>Q435/(O435+P435)</f>
        <v>2.0476190476190474</v>
      </c>
      <c r="Y435" s="65">
        <f>R435/R$488</f>
        <v>3.7183468462318332E-4</v>
      </c>
      <c r="Z435" s="33">
        <v>124</v>
      </c>
      <c r="AA435" s="33">
        <v>130</v>
      </c>
      <c r="AB435" s="29">
        <v>128</v>
      </c>
      <c r="AC435" s="34">
        <f>Z435/R435</f>
        <v>0.96875</v>
      </c>
      <c r="AD435" s="34">
        <f>AA435/Z435</f>
        <v>1.0483870967741935</v>
      </c>
      <c r="AE435" s="34">
        <f>AB435/AA435</f>
        <v>0.98461538461538467</v>
      </c>
      <c r="AF435" s="35">
        <f>AB435/R435</f>
        <v>1</v>
      </c>
      <c r="AG435" s="29">
        <f>0.6*Z435+0.4*AA435</f>
        <v>126.39999999999999</v>
      </c>
      <c r="AH435" s="54">
        <v>462</v>
      </c>
      <c r="AI435" s="59">
        <f>AH435/AG435</f>
        <v>3.6550632911392409</v>
      </c>
      <c r="AJ435" s="61">
        <f>AI435/AI$488</f>
        <v>0.77671676231598452</v>
      </c>
    </row>
    <row r="436" spans="1:36" ht="15" customHeight="1" x14ac:dyDescent="0.2">
      <c r="A436" s="27" t="s">
        <v>196</v>
      </c>
      <c r="B436" s="27"/>
      <c r="C436" s="28" t="s">
        <v>35</v>
      </c>
      <c r="D436" s="28">
        <v>11</v>
      </c>
      <c r="E436" s="27"/>
      <c r="F436" s="27"/>
      <c r="G436" s="27" t="s">
        <v>106</v>
      </c>
      <c r="H436" s="27">
        <v>12</v>
      </c>
      <c r="I436" s="27" t="s">
        <v>111</v>
      </c>
      <c r="J436" s="27">
        <v>5</v>
      </c>
      <c r="K436" s="27">
        <v>2</v>
      </c>
      <c r="L436" s="27">
        <v>79</v>
      </c>
      <c r="M436" s="29">
        <v>26</v>
      </c>
      <c r="N436" s="30">
        <v>26</v>
      </c>
      <c r="O436" s="30">
        <v>64</v>
      </c>
      <c r="P436" s="30">
        <v>27</v>
      </c>
      <c r="Q436" s="30">
        <v>44</v>
      </c>
      <c r="R436" s="30">
        <v>135</v>
      </c>
      <c r="S436" s="31">
        <f>R436/N436</f>
        <v>5.1923076923076925</v>
      </c>
      <c r="T436" s="32">
        <f>O436/R436</f>
        <v>0.47407407407407409</v>
      </c>
      <c r="U436" s="32">
        <f>P436/R436</f>
        <v>0.2</v>
      </c>
      <c r="V436" s="32">
        <f>Q436/R436</f>
        <v>0.32592592592592595</v>
      </c>
      <c r="W436" s="31">
        <f>P436/O436</f>
        <v>0.421875</v>
      </c>
      <c r="X436" s="31">
        <f>Q436/(O436+P436)</f>
        <v>0.48351648351648352</v>
      </c>
      <c r="Y436" s="65">
        <f>R436/R$488</f>
        <v>3.9216939393851364E-4</v>
      </c>
      <c r="Z436" s="33">
        <v>152</v>
      </c>
      <c r="AA436" s="33">
        <v>192</v>
      </c>
      <c r="AB436" s="29">
        <v>207</v>
      </c>
      <c r="AC436" s="34">
        <f>Z436/R436</f>
        <v>1.125925925925926</v>
      </c>
      <c r="AD436" s="34">
        <f>AA436/Z436</f>
        <v>1.263157894736842</v>
      </c>
      <c r="AE436" s="34">
        <f>AB436/AA436</f>
        <v>1.078125</v>
      </c>
      <c r="AF436" s="35">
        <f>AB436/R436</f>
        <v>1.5333333333333334</v>
      </c>
      <c r="AG436" s="29">
        <f>0.6*Z436+0.4*AA436</f>
        <v>168</v>
      </c>
      <c r="AH436" s="54">
        <v>657</v>
      </c>
      <c r="AI436" s="59">
        <f>AH436/AG436</f>
        <v>3.9107142857142856</v>
      </c>
      <c r="AJ436" s="61">
        <f>AI436/AI$488</f>
        <v>0.83104370468947719</v>
      </c>
    </row>
    <row r="437" spans="1:36" ht="15" customHeight="1" x14ac:dyDescent="0.2">
      <c r="A437" s="27" t="s">
        <v>416</v>
      </c>
      <c r="B437" s="27"/>
      <c r="C437" s="27" t="s">
        <v>332</v>
      </c>
      <c r="D437" s="27">
        <v>25</v>
      </c>
      <c r="E437" s="27"/>
      <c r="F437" s="27"/>
      <c r="G437" s="27" t="s">
        <v>332</v>
      </c>
      <c r="H437" s="27">
        <v>18</v>
      </c>
      <c r="I437" s="27" t="s">
        <v>620</v>
      </c>
      <c r="J437" s="27">
        <v>10</v>
      </c>
      <c r="K437" s="27">
        <v>1</v>
      </c>
      <c r="L437" s="27">
        <v>55</v>
      </c>
      <c r="M437" s="29">
        <v>25</v>
      </c>
      <c r="N437" s="30">
        <v>34</v>
      </c>
      <c r="O437" s="30">
        <v>63</v>
      </c>
      <c r="P437" s="30">
        <v>1</v>
      </c>
      <c r="Q437" s="30">
        <v>81</v>
      </c>
      <c r="R437" s="30">
        <v>145</v>
      </c>
      <c r="S437" s="31">
        <f>R437/N437</f>
        <v>4.2647058823529411</v>
      </c>
      <c r="T437" s="32">
        <f>O437/R437</f>
        <v>0.43448275862068964</v>
      </c>
      <c r="U437" s="32">
        <f>P437/R437</f>
        <v>6.8965517241379309E-3</v>
      </c>
      <c r="V437" s="32">
        <f>Q437/R437</f>
        <v>0.55862068965517242</v>
      </c>
      <c r="W437" s="31">
        <f>P437/O437</f>
        <v>1.5873015873015872E-2</v>
      </c>
      <c r="X437" s="31">
        <f>Q437/(O437+P437)</f>
        <v>1.265625</v>
      </c>
      <c r="Y437" s="65">
        <f>R437/R$488</f>
        <v>4.2121897867469983E-4</v>
      </c>
      <c r="Z437" s="33">
        <v>167</v>
      </c>
      <c r="AA437" s="33">
        <v>162</v>
      </c>
      <c r="AB437" s="29">
        <v>170</v>
      </c>
      <c r="AC437" s="34">
        <f>Z437/R437</f>
        <v>1.1517241379310346</v>
      </c>
      <c r="AD437" s="34">
        <f>AA437/Z437</f>
        <v>0.97005988023952094</v>
      </c>
      <c r="AE437" s="34">
        <f>AB437/AA437</f>
        <v>1.0493827160493827</v>
      </c>
      <c r="AF437" s="35">
        <f>AB437/R437</f>
        <v>1.1724137931034482</v>
      </c>
      <c r="AG437" s="29">
        <f>0.6*Z437+0.4*AA437</f>
        <v>165</v>
      </c>
      <c r="AH437" s="54">
        <v>1009</v>
      </c>
      <c r="AI437" s="59">
        <f>AH437/AG437</f>
        <v>6.1151515151515152</v>
      </c>
      <c r="AJ437" s="61">
        <f>AI437/AI$488</f>
        <v>1.2994961530309732</v>
      </c>
    </row>
    <row r="438" spans="1:36" ht="15" customHeight="1" x14ac:dyDescent="0.2">
      <c r="A438" s="27" t="s">
        <v>348</v>
      </c>
      <c r="B438" s="27"/>
      <c r="C438" s="27" t="s">
        <v>324</v>
      </c>
      <c r="D438" s="27">
        <v>2</v>
      </c>
      <c r="E438" s="27" t="s">
        <v>420</v>
      </c>
      <c r="F438" s="27"/>
      <c r="G438" s="27" t="s">
        <v>333</v>
      </c>
      <c r="H438" s="27">
        <v>22</v>
      </c>
      <c r="I438" s="27" t="s">
        <v>621</v>
      </c>
      <c r="J438" s="27">
        <v>7</v>
      </c>
      <c r="K438" s="27">
        <v>6</v>
      </c>
      <c r="L438" s="27">
        <v>72</v>
      </c>
      <c r="M438" s="29">
        <v>356</v>
      </c>
      <c r="N438" s="30">
        <v>390</v>
      </c>
      <c r="O438" s="30">
        <v>442</v>
      </c>
      <c r="P438" s="30">
        <v>770</v>
      </c>
      <c r="Q438" s="30">
        <v>625</v>
      </c>
      <c r="R438" s="30">
        <v>1837</v>
      </c>
      <c r="S438" s="31">
        <f>R438/N438</f>
        <v>4.7102564102564104</v>
      </c>
      <c r="T438" s="32">
        <f>O438/R438</f>
        <v>0.24060968971148611</v>
      </c>
      <c r="U438" s="32">
        <f>P438/R438</f>
        <v>0.41916167664670656</v>
      </c>
      <c r="V438" s="32">
        <f>Q438/R438</f>
        <v>0.34022863364180728</v>
      </c>
      <c r="W438" s="31">
        <f>P438/O438</f>
        <v>1.7420814479638009</v>
      </c>
      <c r="X438" s="31">
        <f>Q438/(O438+P438)</f>
        <v>0.51567656765676573</v>
      </c>
      <c r="Y438" s="65">
        <f>R438/R$488</f>
        <v>5.3364087160374047E-3</v>
      </c>
      <c r="Z438" s="29">
        <v>1564</v>
      </c>
      <c r="AA438" s="29">
        <v>1979</v>
      </c>
      <c r="AB438" s="29">
        <v>2082</v>
      </c>
      <c r="AC438" s="34">
        <f>Z438/R438</f>
        <v>0.8513881328252586</v>
      </c>
      <c r="AD438" s="34">
        <f>AA438/Z438</f>
        <v>1.2653452685421995</v>
      </c>
      <c r="AE438" s="34">
        <f>AB438/AA438</f>
        <v>1.0520464881253158</v>
      </c>
      <c r="AF438" s="35">
        <f>AB438/R438</f>
        <v>1.1333696243875884</v>
      </c>
      <c r="AG438" s="29">
        <f>0.6*Z438+0.4*AA438</f>
        <v>1730</v>
      </c>
      <c r="AH438" s="54">
        <v>10274</v>
      </c>
      <c r="AI438" s="59">
        <f>AH438/AG438</f>
        <v>5.9387283236994222</v>
      </c>
      <c r="AJ438" s="61">
        <f>AI438/AI$488</f>
        <v>1.2620054615854055</v>
      </c>
    </row>
    <row r="439" spans="1:36" ht="15" customHeight="1" x14ac:dyDescent="0.2">
      <c r="A439" s="28" t="s">
        <v>82</v>
      </c>
      <c r="B439" s="28"/>
      <c r="C439" s="28" t="s">
        <v>81</v>
      </c>
      <c r="D439" s="27">
        <v>10</v>
      </c>
      <c r="E439" s="27"/>
      <c r="F439" s="27"/>
      <c r="G439" s="27" t="s">
        <v>330</v>
      </c>
      <c r="H439" s="27">
        <v>15</v>
      </c>
      <c r="I439" s="27" t="s">
        <v>624</v>
      </c>
      <c r="J439" s="27">
        <v>4</v>
      </c>
      <c r="K439" s="27">
        <v>4</v>
      </c>
      <c r="L439" s="27">
        <v>107</v>
      </c>
      <c r="M439" s="29">
        <v>160</v>
      </c>
      <c r="N439" s="30">
        <v>160</v>
      </c>
      <c r="O439" s="30">
        <v>109</v>
      </c>
      <c r="P439" s="30">
        <v>35</v>
      </c>
      <c r="Q439" s="30">
        <v>812</v>
      </c>
      <c r="R439" s="30">
        <v>956</v>
      </c>
      <c r="S439" s="31">
        <f>R439/N439</f>
        <v>5.9749999999999996</v>
      </c>
      <c r="T439" s="32">
        <f>O439/R439</f>
        <v>0.11401673640167365</v>
      </c>
      <c r="U439" s="32">
        <f>P439/R439</f>
        <v>3.6610878661087864E-2</v>
      </c>
      <c r="V439" s="32">
        <f>Q439/R439</f>
        <v>0.84937238493723854</v>
      </c>
      <c r="W439" s="31">
        <f>P439/O439</f>
        <v>0.32110091743119268</v>
      </c>
      <c r="X439" s="31">
        <f>Q439/(O439+P439)</f>
        <v>5.6388888888888893</v>
      </c>
      <c r="Y439" s="65">
        <f>R439/R$488</f>
        <v>2.7771403007794005E-3</v>
      </c>
      <c r="Z439" s="29">
        <v>1137</v>
      </c>
      <c r="AA439" s="29">
        <v>1429</v>
      </c>
      <c r="AB439" s="29">
        <v>1467</v>
      </c>
      <c r="AC439" s="34">
        <f>Z439/R439</f>
        <v>1.1893305439330544</v>
      </c>
      <c r="AD439" s="34">
        <f>AA439/Z439</f>
        <v>1.256816182937555</v>
      </c>
      <c r="AE439" s="34">
        <f>AB439/AA439</f>
        <v>1.0265920223932821</v>
      </c>
      <c r="AF439" s="35">
        <f>AB439/R439</f>
        <v>1.5345188284518829</v>
      </c>
      <c r="AG439" s="29">
        <f>0.6*Z439+0.4*AA439</f>
        <v>1253.8</v>
      </c>
      <c r="AH439" s="54">
        <v>10639</v>
      </c>
      <c r="AI439" s="59">
        <f>AH439/AG439</f>
        <v>8.4854043707130327</v>
      </c>
      <c r="AJ439" s="61">
        <f>AI439/AI$488</f>
        <v>1.8031851392942277</v>
      </c>
    </row>
    <row r="440" spans="1:36" ht="15" customHeight="1" x14ac:dyDescent="0.2">
      <c r="A440" s="27" t="s">
        <v>385</v>
      </c>
      <c r="B440" s="27"/>
      <c r="C440" s="27" t="s">
        <v>328</v>
      </c>
      <c r="D440" s="27">
        <v>13</v>
      </c>
      <c r="E440" s="27"/>
      <c r="F440" s="27"/>
      <c r="G440" s="27" t="s">
        <v>333</v>
      </c>
      <c r="H440" s="27">
        <v>22</v>
      </c>
      <c r="I440" s="27" t="s">
        <v>621</v>
      </c>
      <c r="J440" s="27">
        <v>7</v>
      </c>
      <c r="K440" s="27">
        <v>2</v>
      </c>
      <c r="L440" s="27">
        <v>82</v>
      </c>
      <c r="M440" s="29">
        <v>31</v>
      </c>
      <c r="N440" s="30">
        <v>40</v>
      </c>
      <c r="O440" s="30">
        <v>85</v>
      </c>
      <c r="P440" s="40">
        <v>46</v>
      </c>
      <c r="Q440" s="40">
        <v>49</v>
      </c>
      <c r="R440" s="30">
        <v>180</v>
      </c>
      <c r="S440" s="31">
        <f>R440/N440</f>
        <v>4.5</v>
      </c>
      <c r="T440" s="32">
        <f>O440/R440</f>
        <v>0.47222222222222221</v>
      </c>
      <c r="U440" s="32">
        <f>P440/R440</f>
        <v>0.25555555555555554</v>
      </c>
      <c r="V440" s="32">
        <f>Q440/R440</f>
        <v>0.2722222222222222</v>
      </c>
      <c r="W440" s="31">
        <f>P440/O440</f>
        <v>0.54117647058823526</v>
      </c>
      <c r="X440" s="31">
        <f>Q440/(O440+P440)</f>
        <v>0.37404580152671757</v>
      </c>
      <c r="Y440" s="65">
        <f>R440/R$488</f>
        <v>5.2289252525135148E-4</v>
      </c>
      <c r="Z440" s="33">
        <v>189</v>
      </c>
      <c r="AA440" s="33">
        <v>213</v>
      </c>
      <c r="AB440" s="75">
        <v>229</v>
      </c>
      <c r="AC440" s="34">
        <f>Z440/R440</f>
        <v>1.05</v>
      </c>
      <c r="AD440" s="34">
        <f>AA440/Z440</f>
        <v>1.126984126984127</v>
      </c>
      <c r="AE440" s="34">
        <f>AB440/AA440</f>
        <v>1.0751173708920188</v>
      </c>
      <c r="AF440" s="35">
        <f>AB440/R440</f>
        <v>1.2722222222222221</v>
      </c>
      <c r="AG440" s="29">
        <f>0.6*Z440+0.4*AA440</f>
        <v>198.6</v>
      </c>
      <c r="AH440" s="54">
        <v>1524</v>
      </c>
      <c r="AI440" s="59">
        <f>AH440/AG440</f>
        <v>7.6737160120845926</v>
      </c>
      <c r="AJ440" s="61">
        <f>AI440/AI$488</f>
        <v>1.6306978514675501</v>
      </c>
    </row>
    <row r="441" spans="1:36" ht="15" customHeight="1" x14ac:dyDescent="0.2">
      <c r="A441" s="27" t="s">
        <v>385</v>
      </c>
      <c r="B441" s="27"/>
      <c r="C441" s="27" t="s">
        <v>333</v>
      </c>
      <c r="D441" s="27">
        <v>29</v>
      </c>
      <c r="E441" s="27"/>
      <c r="F441" s="27"/>
      <c r="G441" s="27" t="s">
        <v>333</v>
      </c>
      <c r="H441" s="27">
        <v>22</v>
      </c>
      <c r="I441" s="27" t="s">
        <v>621</v>
      </c>
      <c r="J441" s="27">
        <v>7</v>
      </c>
      <c r="K441" s="27">
        <v>2</v>
      </c>
      <c r="L441" s="27">
        <v>82</v>
      </c>
      <c r="M441" s="30">
        <v>31</v>
      </c>
      <c r="N441" s="30">
        <v>40</v>
      </c>
      <c r="O441" s="30">
        <v>85</v>
      </c>
      <c r="P441" s="40">
        <v>46</v>
      </c>
      <c r="Q441" s="40">
        <v>49</v>
      </c>
      <c r="R441" s="30">
        <v>180</v>
      </c>
      <c r="S441" s="31">
        <f>R441/N441</f>
        <v>4.5</v>
      </c>
      <c r="T441" s="32">
        <f>O441/R441</f>
        <v>0.47222222222222221</v>
      </c>
      <c r="U441" s="32">
        <f>P441/R441</f>
        <v>0.25555555555555554</v>
      </c>
      <c r="V441" s="32">
        <f>Q441/R441</f>
        <v>0.2722222222222222</v>
      </c>
      <c r="W441" s="31">
        <f>P441/O441</f>
        <v>0.54117647058823526</v>
      </c>
      <c r="X441" s="31">
        <f>Q441/(O441+P441)</f>
        <v>0.37404580152671757</v>
      </c>
      <c r="Y441" s="65">
        <f>R441/R$488</f>
        <v>5.2289252525135148E-4</v>
      </c>
      <c r="Z441" s="27">
        <v>188</v>
      </c>
      <c r="AA441" s="27">
        <v>212</v>
      </c>
      <c r="AB441" s="40">
        <v>228</v>
      </c>
      <c r="AC441" s="34">
        <f>Z441/R441</f>
        <v>1.0444444444444445</v>
      </c>
      <c r="AD441" s="34">
        <f>AA441/Z441</f>
        <v>1.1276595744680851</v>
      </c>
      <c r="AE441" s="34">
        <f>AB441/AA441</f>
        <v>1.0754716981132075</v>
      </c>
      <c r="AF441" s="35">
        <f>AB441/R441</f>
        <v>1.2666666666666666</v>
      </c>
      <c r="AG441" s="29">
        <f>0.6*Z441+0.4*AA441</f>
        <v>197.60000000000002</v>
      </c>
      <c r="AH441" s="57">
        <v>1523</v>
      </c>
      <c r="AI441" s="59">
        <f>AH441/AG441</f>
        <v>7.7074898785425097</v>
      </c>
      <c r="AJ441" s="61">
        <f>AI441/AI$488</f>
        <v>1.6378749442061848</v>
      </c>
    </row>
    <row r="442" spans="1:36" ht="15" customHeight="1" x14ac:dyDescent="0.2">
      <c r="A442" s="27" t="s">
        <v>341</v>
      </c>
      <c r="B442" s="27">
        <v>4</v>
      </c>
      <c r="C442" s="27" t="s">
        <v>323</v>
      </c>
      <c r="D442" s="27">
        <v>1</v>
      </c>
      <c r="E442" s="27"/>
      <c r="F442" s="27"/>
      <c r="G442" s="27" t="s">
        <v>336</v>
      </c>
      <c r="H442" s="27">
        <v>10</v>
      </c>
      <c r="I442" s="27" t="s">
        <v>618</v>
      </c>
      <c r="J442" s="27">
        <v>6</v>
      </c>
      <c r="K442" s="27">
        <v>7</v>
      </c>
      <c r="L442" s="27">
        <v>34</v>
      </c>
      <c r="M442" s="29">
        <v>126</v>
      </c>
      <c r="N442" s="30">
        <v>137</v>
      </c>
      <c r="O442" s="30">
        <v>427</v>
      </c>
      <c r="P442" s="30">
        <v>15</v>
      </c>
      <c r="Q442" s="30">
        <v>107</v>
      </c>
      <c r="R442" s="30">
        <v>549</v>
      </c>
      <c r="S442" s="31">
        <f>R442/N442</f>
        <v>4.007299270072993</v>
      </c>
      <c r="T442" s="32">
        <f>O442/R442</f>
        <v>0.77777777777777779</v>
      </c>
      <c r="U442" s="32">
        <f>P442/R442</f>
        <v>2.7322404371584699E-2</v>
      </c>
      <c r="V442" s="32">
        <f>Q442/R442</f>
        <v>0.19489981785063754</v>
      </c>
      <c r="W442" s="31">
        <f>P442/O442</f>
        <v>3.5128805620608897E-2</v>
      </c>
      <c r="X442" s="31">
        <f>Q442/(O442+P442)</f>
        <v>0.24208144796380091</v>
      </c>
      <c r="Y442" s="65">
        <f>R442/R$488</f>
        <v>1.5948222020166223E-3</v>
      </c>
      <c r="Z442" s="33">
        <v>629</v>
      </c>
      <c r="AA442" s="33">
        <v>848</v>
      </c>
      <c r="AB442" s="29">
        <v>975</v>
      </c>
      <c r="AC442" s="34">
        <f>Z442/R442</f>
        <v>1.1457194899817851</v>
      </c>
      <c r="AD442" s="34">
        <f>AA442/Z442</f>
        <v>1.3481717011128775</v>
      </c>
      <c r="AE442" s="34">
        <f>AB442/AA442</f>
        <v>1.1497641509433962</v>
      </c>
      <c r="AF442" s="35">
        <f>AB442/R442</f>
        <v>1.7759562841530054</v>
      </c>
      <c r="AG442" s="29">
        <f>0.6*Z442+0.4*AA442</f>
        <v>716.6</v>
      </c>
      <c r="AH442" s="54">
        <v>3074</v>
      </c>
      <c r="AI442" s="59">
        <f>AH442/AG442</f>
        <v>4.2897013675690765</v>
      </c>
      <c r="AJ442" s="61">
        <f>AI442/AI$488</f>
        <v>0.91158009920046956</v>
      </c>
    </row>
    <row r="443" spans="1:36" ht="15" customHeight="1" x14ac:dyDescent="0.2">
      <c r="A443" s="27" t="s">
        <v>342</v>
      </c>
      <c r="B443" s="27">
        <v>5</v>
      </c>
      <c r="C443" s="28" t="s">
        <v>323</v>
      </c>
      <c r="D443" s="28">
        <v>1</v>
      </c>
      <c r="E443" s="27"/>
      <c r="F443" s="27"/>
      <c r="G443" s="27" t="s">
        <v>219</v>
      </c>
      <c r="H443" s="27">
        <v>6</v>
      </c>
      <c r="I443" s="27" t="s">
        <v>618</v>
      </c>
      <c r="J443" s="27">
        <v>6</v>
      </c>
      <c r="K443" s="27">
        <v>7</v>
      </c>
      <c r="L443" s="27">
        <v>33</v>
      </c>
      <c r="M443" s="29">
        <v>150</v>
      </c>
      <c r="N443" s="30">
        <v>168</v>
      </c>
      <c r="O443" s="30">
        <v>239</v>
      </c>
      <c r="P443" s="30">
        <v>56</v>
      </c>
      <c r="Q443" s="30">
        <v>500</v>
      </c>
      <c r="R443" s="30">
        <v>795</v>
      </c>
      <c r="S443" s="31">
        <f>R443/N443</f>
        <v>4.7321428571428568</v>
      </c>
      <c r="T443" s="32">
        <f>O443/R443</f>
        <v>0.30062893081761005</v>
      </c>
      <c r="U443" s="32">
        <f>P443/R443</f>
        <v>7.0440251572327042E-2</v>
      </c>
      <c r="V443" s="32">
        <f>Q443/R443</f>
        <v>0.62893081761006286</v>
      </c>
      <c r="W443" s="31">
        <f>P443/O443</f>
        <v>0.23430962343096234</v>
      </c>
      <c r="X443" s="31">
        <f>Q443/(O443+P443)</f>
        <v>1.6949152542372881</v>
      </c>
      <c r="Y443" s="65">
        <f>R443/R$488</f>
        <v>2.3094419865268027E-3</v>
      </c>
      <c r="Z443" s="33">
        <v>820</v>
      </c>
      <c r="AA443" s="33">
        <v>886</v>
      </c>
      <c r="AB443" s="29">
        <v>940</v>
      </c>
      <c r="AC443" s="34">
        <f>Z443/R443</f>
        <v>1.0314465408805031</v>
      </c>
      <c r="AD443" s="34">
        <f>AA443/Z443</f>
        <v>1.0804878048780489</v>
      </c>
      <c r="AE443" s="34">
        <f>AB443/AA443</f>
        <v>1.0609480812641083</v>
      </c>
      <c r="AF443" s="35">
        <f>AB443/R443</f>
        <v>1.1823899371069182</v>
      </c>
      <c r="AG443" s="29">
        <f>0.6*Z443+0.4*AA443</f>
        <v>846.40000000000009</v>
      </c>
      <c r="AH443" s="54">
        <v>6095</v>
      </c>
      <c r="AI443" s="59">
        <f>AH443/AG443</f>
        <v>7.2010869565217384</v>
      </c>
      <c r="AJ443" s="61">
        <f>AI443/AI$488</f>
        <v>1.5302621324190788</v>
      </c>
    </row>
    <row r="444" spans="1:36" ht="15" customHeight="1" x14ac:dyDescent="0.2">
      <c r="A444" s="27" t="s">
        <v>98</v>
      </c>
      <c r="B444" s="27"/>
      <c r="C444" s="27" t="s">
        <v>124</v>
      </c>
      <c r="D444" s="28">
        <v>30</v>
      </c>
      <c r="E444" s="27"/>
      <c r="F444" s="27"/>
      <c r="G444" s="27" t="s">
        <v>201</v>
      </c>
      <c r="H444" s="27">
        <v>3</v>
      </c>
      <c r="I444" s="27" t="s">
        <v>621</v>
      </c>
      <c r="J444" s="27">
        <v>7</v>
      </c>
      <c r="K444" s="27">
        <v>6</v>
      </c>
      <c r="L444" s="27">
        <v>71</v>
      </c>
      <c r="M444" s="29">
        <v>19</v>
      </c>
      <c r="N444" s="30">
        <v>27</v>
      </c>
      <c r="O444" s="30">
        <v>53</v>
      </c>
      <c r="P444" s="30">
        <v>27</v>
      </c>
      <c r="Q444" s="30">
        <v>56</v>
      </c>
      <c r="R444" s="30">
        <v>136</v>
      </c>
      <c r="S444" s="31">
        <f>R444/N444</f>
        <v>5.0370370370370372</v>
      </c>
      <c r="T444" s="32">
        <f>O444/R444</f>
        <v>0.38970588235294118</v>
      </c>
      <c r="U444" s="32">
        <f>P444/R444</f>
        <v>0.19852941176470587</v>
      </c>
      <c r="V444" s="32">
        <f>Q444/R444</f>
        <v>0.41176470588235292</v>
      </c>
      <c r="W444" s="31">
        <f>P444/O444</f>
        <v>0.50943396226415094</v>
      </c>
      <c r="X444" s="31">
        <f>Q444/(O444+P444)</f>
        <v>0.7</v>
      </c>
      <c r="Y444" s="65">
        <f>R444/R$488</f>
        <v>3.9507435241213228E-4</v>
      </c>
      <c r="Z444" s="33">
        <v>143</v>
      </c>
      <c r="AA444" s="33">
        <v>168</v>
      </c>
      <c r="AB444" s="29">
        <v>152</v>
      </c>
      <c r="AC444" s="34">
        <f>Z444/R444</f>
        <v>1.0514705882352942</v>
      </c>
      <c r="AD444" s="34">
        <f>AA444/Z444</f>
        <v>1.1748251748251748</v>
      </c>
      <c r="AE444" s="34">
        <f>AB444/AA444</f>
        <v>0.90476190476190477</v>
      </c>
      <c r="AF444" s="35">
        <f>AB444/R444</f>
        <v>1.1176470588235294</v>
      </c>
      <c r="AG444" s="29">
        <f>0.6*Z444+0.4*AA444</f>
        <v>153</v>
      </c>
      <c r="AH444" s="54">
        <v>1260</v>
      </c>
      <c r="AI444" s="59">
        <f>AH444/AG444</f>
        <v>8.235294117647058</v>
      </c>
      <c r="AJ444" s="61">
        <f>AI444/AI$488</f>
        <v>1.7500356284623961</v>
      </c>
    </row>
    <row r="445" spans="1:36" ht="15" customHeight="1" x14ac:dyDescent="0.2">
      <c r="A445" s="28" t="s">
        <v>319</v>
      </c>
      <c r="B445" s="28"/>
      <c r="C445" s="27" t="s">
        <v>116</v>
      </c>
      <c r="D445" s="27">
        <v>32</v>
      </c>
      <c r="E445" s="27"/>
      <c r="F445" s="27"/>
      <c r="G445" s="27" t="s">
        <v>201</v>
      </c>
      <c r="H445" s="27">
        <v>3</v>
      </c>
      <c r="I445" s="27" t="s">
        <v>618</v>
      </c>
      <c r="J445" s="27">
        <v>6</v>
      </c>
      <c r="K445" s="27">
        <v>6</v>
      </c>
      <c r="L445" s="27">
        <v>70</v>
      </c>
      <c r="M445" s="29">
        <v>46</v>
      </c>
      <c r="N445" s="30">
        <v>56</v>
      </c>
      <c r="O445" s="30">
        <v>200</v>
      </c>
      <c r="P445" s="30">
        <v>8</v>
      </c>
      <c r="Q445" s="30">
        <v>201</v>
      </c>
      <c r="R445" s="30">
        <v>409</v>
      </c>
      <c r="S445" s="31">
        <f>R445/N445</f>
        <v>7.3035714285714288</v>
      </c>
      <c r="T445" s="32">
        <f>O445/R445</f>
        <v>0.48899755501222492</v>
      </c>
      <c r="U445" s="32">
        <f>P445/R445</f>
        <v>1.9559902200488997E-2</v>
      </c>
      <c r="V445" s="32">
        <f>Q445/R445</f>
        <v>0.49144254278728605</v>
      </c>
      <c r="W445" s="31">
        <f>P445/O445</f>
        <v>0.04</v>
      </c>
      <c r="X445" s="31">
        <f>Q445/(O445+P445)</f>
        <v>0.96634615384615385</v>
      </c>
      <c r="Y445" s="65">
        <f>R445/R$488</f>
        <v>1.1881280157100154E-3</v>
      </c>
      <c r="Z445" s="33">
        <v>363</v>
      </c>
      <c r="AA445" s="33">
        <v>431</v>
      </c>
      <c r="AB445" s="29">
        <v>514</v>
      </c>
      <c r="AC445" s="34">
        <f>Z445/R445</f>
        <v>0.8875305623471883</v>
      </c>
      <c r="AD445" s="34">
        <f>AA445/Z445</f>
        <v>1.1873278236914599</v>
      </c>
      <c r="AE445" s="34">
        <f>AB445/AA445</f>
        <v>1.1925754060324827</v>
      </c>
      <c r="AF445" s="35">
        <f>AB445/R445</f>
        <v>1.256723716381418</v>
      </c>
      <c r="AG445" s="29">
        <f>0.6*Z445+0.4*AA445</f>
        <v>390.2</v>
      </c>
      <c r="AH445" s="54">
        <v>3441</v>
      </c>
      <c r="AI445" s="59">
        <f>AH445/AG445</f>
        <v>8.8185545873910822</v>
      </c>
      <c r="AJ445" s="61">
        <f>AI445/AI$488</f>
        <v>1.8739810016505236</v>
      </c>
    </row>
    <row r="446" spans="1:36" ht="15" customHeight="1" x14ac:dyDescent="0.2">
      <c r="A446" s="28" t="s">
        <v>183</v>
      </c>
      <c r="B446" s="28"/>
      <c r="C446" s="28" t="s">
        <v>120</v>
      </c>
      <c r="D446" s="28">
        <v>9</v>
      </c>
      <c r="E446" s="27"/>
      <c r="F446" s="27"/>
      <c r="G446" s="27" t="s">
        <v>172</v>
      </c>
      <c r="H446" s="27">
        <v>1</v>
      </c>
      <c r="I446" s="27" t="s">
        <v>618</v>
      </c>
      <c r="J446" s="27">
        <v>6</v>
      </c>
      <c r="K446" s="27">
        <v>6</v>
      </c>
      <c r="L446" s="27">
        <v>28</v>
      </c>
      <c r="M446" s="29">
        <v>21</v>
      </c>
      <c r="N446" s="30">
        <v>29</v>
      </c>
      <c r="O446" s="30">
        <v>126</v>
      </c>
      <c r="P446" s="30">
        <v>1</v>
      </c>
      <c r="Q446" s="30">
        <v>0</v>
      </c>
      <c r="R446" s="30">
        <v>127</v>
      </c>
      <c r="S446" s="31">
        <f>R446/N446</f>
        <v>4.3793103448275863</v>
      </c>
      <c r="T446" s="32">
        <f>O446/R446</f>
        <v>0.99212598425196852</v>
      </c>
      <c r="U446" s="32">
        <f>P446/R446</f>
        <v>7.874015748031496E-3</v>
      </c>
      <c r="V446" s="32">
        <f>Q446/R446</f>
        <v>0</v>
      </c>
      <c r="W446" s="31">
        <f>P446/O446</f>
        <v>7.9365079365079361E-3</v>
      </c>
      <c r="X446" s="31">
        <f>Q446/(O446+P446)</f>
        <v>0</v>
      </c>
      <c r="Y446" s="65">
        <f>R446/R$488</f>
        <v>3.6892972614956468E-4</v>
      </c>
      <c r="Z446" s="33">
        <v>108</v>
      </c>
      <c r="AA446" s="33">
        <v>120</v>
      </c>
      <c r="AB446" s="29">
        <v>133</v>
      </c>
      <c r="AC446" s="34">
        <f>Z446/R446</f>
        <v>0.85039370078740162</v>
      </c>
      <c r="AD446" s="34">
        <f>AA446/Z446</f>
        <v>1.1111111111111112</v>
      </c>
      <c r="AE446" s="34">
        <f>AB446/AA446</f>
        <v>1.1083333333333334</v>
      </c>
      <c r="AF446" s="35">
        <f>AB446/R446</f>
        <v>1.0472440944881889</v>
      </c>
      <c r="AG446" s="29">
        <f>0.6*Z446+0.4*AA446</f>
        <v>112.8</v>
      </c>
      <c r="AH446" s="54">
        <v>826</v>
      </c>
      <c r="AI446" s="59">
        <f>AH446/AG446</f>
        <v>7.3226950354609928</v>
      </c>
      <c r="AJ446" s="61">
        <f>AI446/AI$488</f>
        <v>1.5561043753083186</v>
      </c>
    </row>
    <row r="447" spans="1:36" ht="15" customHeight="1" x14ac:dyDescent="0.2">
      <c r="A447" s="28" t="s">
        <v>234</v>
      </c>
      <c r="B447" s="28"/>
      <c r="C447" s="28" t="s">
        <v>121</v>
      </c>
      <c r="D447" s="28">
        <v>18</v>
      </c>
      <c r="E447" s="27"/>
      <c r="F447" s="27"/>
      <c r="G447" s="27" t="s">
        <v>126</v>
      </c>
      <c r="H447" s="27">
        <v>20</v>
      </c>
      <c r="I447" s="27" t="s">
        <v>619</v>
      </c>
      <c r="J447" s="27">
        <v>9</v>
      </c>
      <c r="K447" s="27">
        <v>3</v>
      </c>
      <c r="L447" s="27">
        <v>52</v>
      </c>
      <c r="M447" s="29">
        <v>19</v>
      </c>
      <c r="N447" s="30">
        <v>19</v>
      </c>
      <c r="O447" s="30">
        <v>52</v>
      </c>
      <c r="P447" s="30">
        <v>0</v>
      </c>
      <c r="Q447" s="30">
        <v>49</v>
      </c>
      <c r="R447" s="30">
        <v>101</v>
      </c>
      <c r="S447" s="31">
        <f>R447/N447</f>
        <v>5.3157894736842106</v>
      </c>
      <c r="T447" s="32">
        <f>O447/R447</f>
        <v>0.51485148514851486</v>
      </c>
      <c r="U447" s="32">
        <f>P447/R447</f>
        <v>0</v>
      </c>
      <c r="V447" s="32">
        <f>Q447/R447</f>
        <v>0.48514851485148514</v>
      </c>
      <c r="W447" s="31">
        <f>P447/O447</f>
        <v>0</v>
      </c>
      <c r="X447" s="31">
        <f>Q447/(O447+P447)</f>
        <v>0.94230769230769229</v>
      </c>
      <c r="Y447" s="65">
        <f>R447/R$488</f>
        <v>2.9340080583548057E-4</v>
      </c>
      <c r="Z447" s="33">
        <v>91</v>
      </c>
      <c r="AA447" s="33">
        <v>116</v>
      </c>
      <c r="AB447" s="29">
        <v>136</v>
      </c>
      <c r="AC447" s="34">
        <f>Z447/R447</f>
        <v>0.90099009900990101</v>
      </c>
      <c r="AD447" s="34">
        <f>AA447/Z447</f>
        <v>1.2747252747252746</v>
      </c>
      <c r="AE447" s="34">
        <f>AB447/AA447</f>
        <v>1.1724137931034482</v>
      </c>
      <c r="AF447" s="35">
        <f>AB447/R447</f>
        <v>1.3465346534653466</v>
      </c>
      <c r="AG447" s="29">
        <f>0.6*Z447+0.4*AA447</f>
        <v>101</v>
      </c>
      <c r="AH447" s="54">
        <v>470</v>
      </c>
      <c r="AI447" s="59">
        <f>AH447/AG447</f>
        <v>4.6534653465346532</v>
      </c>
      <c r="AJ447" s="61">
        <f>AI447/AI$488</f>
        <v>0.98888151848759154</v>
      </c>
    </row>
    <row r="448" spans="1:36" ht="15" customHeight="1" x14ac:dyDescent="0.2">
      <c r="A448" s="28" t="s">
        <v>253</v>
      </c>
      <c r="B448" s="28"/>
      <c r="C448" s="28" t="s">
        <v>115</v>
      </c>
      <c r="D448" s="28">
        <v>22</v>
      </c>
      <c r="E448" s="27"/>
      <c r="F448" s="27"/>
      <c r="G448" s="27" t="s">
        <v>428</v>
      </c>
      <c r="H448" s="27">
        <v>19</v>
      </c>
      <c r="I448" s="27" t="s">
        <v>622</v>
      </c>
      <c r="J448" s="27">
        <v>8</v>
      </c>
      <c r="K448" s="27">
        <v>4</v>
      </c>
      <c r="L448" s="27">
        <v>109</v>
      </c>
      <c r="M448" s="29">
        <v>63</v>
      </c>
      <c r="N448" s="30">
        <v>63</v>
      </c>
      <c r="O448" s="30">
        <v>184</v>
      </c>
      <c r="P448" s="30">
        <v>22</v>
      </c>
      <c r="Q448" s="30">
        <v>130</v>
      </c>
      <c r="R448" s="30">
        <v>336</v>
      </c>
      <c r="S448" s="31">
        <f>R448/N448</f>
        <v>5.333333333333333</v>
      </c>
      <c r="T448" s="32">
        <f>O448/R448</f>
        <v>0.54761904761904767</v>
      </c>
      <c r="U448" s="32">
        <f>P448/R448</f>
        <v>6.5476190476190479E-2</v>
      </c>
      <c r="V448" s="32">
        <f>Q448/R448</f>
        <v>0.38690476190476192</v>
      </c>
      <c r="W448" s="31">
        <f>P448/O448</f>
        <v>0.11956521739130435</v>
      </c>
      <c r="X448" s="31">
        <f>Q448/(O448+P448)</f>
        <v>0.6310679611650486</v>
      </c>
      <c r="Y448" s="65">
        <f>R448/R$488</f>
        <v>9.7606604713585624E-4</v>
      </c>
      <c r="Z448" s="33">
        <v>532</v>
      </c>
      <c r="AA448" s="33">
        <v>670</v>
      </c>
      <c r="AB448" s="29">
        <v>691</v>
      </c>
      <c r="AC448" s="34">
        <f>Z448/R448</f>
        <v>1.5833333333333333</v>
      </c>
      <c r="AD448" s="34">
        <f>AA448/Z448</f>
        <v>1.2593984962406015</v>
      </c>
      <c r="AE448" s="34">
        <f>AB448/AA448</f>
        <v>1.0313432835820895</v>
      </c>
      <c r="AF448" s="35">
        <f>AB448/R448</f>
        <v>2.0565476190476191</v>
      </c>
      <c r="AG448" s="29">
        <f>0.6*Z448+0.4*AA448</f>
        <v>587.20000000000005</v>
      </c>
      <c r="AH448" s="54">
        <v>3714</v>
      </c>
      <c r="AI448" s="59">
        <f>AH448/AG448</f>
        <v>6.3249318801089913</v>
      </c>
      <c r="AJ448" s="61">
        <f>AI448/AI$488</f>
        <v>1.344075388160018</v>
      </c>
    </row>
    <row r="449" spans="1:36" ht="15" customHeight="1" x14ac:dyDescent="0.2">
      <c r="A449" s="27" t="s">
        <v>417</v>
      </c>
      <c r="B449" s="27"/>
      <c r="C449" s="27" t="s">
        <v>332</v>
      </c>
      <c r="D449" s="27">
        <v>25</v>
      </c>
      <c r="E449" s="27"/>
      <c r="F449" s="27"/>
      <c r="G449" s="27" t="s">
        <v>332</v>
      </c>
      <c r="H449" s="27">
        <v>18</v>
      </c>
      <c r="I449" s="27" t="s">
        <v>620</v>
      </c>
      <c r="J449" s="27">
        <v>10</v>
      </c>
      <c r="K449" s="27">
        <v>1</v>
      </c>
      <c r="L449" s="27">
        <v>63</v>
      </c>
      <c r="M449" s="29">
        <v>52</v>
      </c>
      <c r="N449" s="30">
        <v>52</v>
      </c>
      <c r="O449" s="30">
        <v>170</v>
      </c>
      <c r="P449" s="30">
        <v>9</v>
      </c>
      <c r="Q449" s="30">
        <v>112</v>
      </c>
      <c r="R449" s="30">
        <v>291</v>
      </c>
      <c r="S449" s="31">
        <f>R449/N449</f>
        <v>5.5961538461538458</v>
      </c>
      <c r="T449" s="32">
        <f>O449/R449</f>
        <v>0.58419243986254299</v>
      </c>
      <c r="U449" s="32">
        <f>P449/R449</f>
        <v>3.0927835051546393E-2</v>
      </c>
      <c r="V449" s="32">
        <f>Q449/R449</f>
        <v>0.38487972508591067</v>
      </c>
      <c r="W449" s="31">
        <f>P449/O449</f>
        <v>5.2941176470588235E-2</v>
      </c>
      <c r="X449" s="31">
        <f>Q449/(O449+P449)</f>
        <v>0.62569832402234637</v>
      </c>
      <c r="Y449" s="65">
        <f>R449/R$488</f>
        <v>8.4534291582301834E-4</v>
      </c>
      <c r="Z449" s="33">
        <v>298</v>
      </c>
      <c r="AA449" s="33">
        <v>268</v>
      </c>
      <c r="AB449" s="29">
        <v>283</v>
      </c>
      <c r="AC449" s="34">
        <f>Z449/R449</f>
        <v>1.0240549828178693</v>
      </c>
      <c r="AD449" s="34">
        <f>AA449/Z449</f>
        <v>0.89932885906040272</v>
      </c>
      <c r="AE449" s="34">
        <f>AB449/AA449</f>
        <v>1.0559701492537314</v>
      </c>
      <c r="AF449" s="35">
        <f>AB449/R449</f>
        <v>0.97250859106529208</v>
      </c>
      <c r="AG449" s="29">
        <f>0.6*Z449+0.4*AA449</f>
        <v>286</v>
      </c>
      <c r="AH449" s="54">
        <v>1371</v>
      </c>
      <c r="AI449" s="59">
        <f>AH449/AG449</f>
        <v>4.7937062937062933</v>
      </c>
      <c r="AJ449" s="61">
        <f>AI449/AI$488</f>
        <v>1.0186833264878388</v>
      </c>
    </row>
    <row r="450" spans="1:36" ht="15" customHeight="1" x14ac:dyDescent="0.2">
      <c r="A450" s="28" t="s">
        <v>295</v>
      </c>
      <c r="B450" s="28"/>
      <c r="C450" s="28" t="s">
        <v>124</v>
      </c>
      <c r="D450" s="28">
        <v>30</v>
      </c>
      <c r="E450" s="27"/>
      <c r="F450" s="27"/>
      <c r="G450" s="27" t="s">
        <v>333</v>
      </c>
      <c r="H450" s="27">
        <v>22</v>
      </c>
      <c r="I450" s="27" t="s">
        <v>621</v>
      </c>
      <c r="J450" s="27">
        <v>7</v>
      </c>
      <c r="K450" s="27">
        <v>2</v>
      </c>
      <c r="L450" s="27">
        <v>87</v>
      </c>
      <c r="M450" s="29">
        <v>82</v>
      </c>
      <c r="N450" s="30">
        <v>84</v>
      </c>
      <c r="O450" s="30">
        <v>301</v>
      </c>
      <c r="P450" s="30">
        <v>20</v>
      </c>
      <c r="Q450" s="30">
        <v>101</v>
      </c>
      <c r="R450" s="30">
        <v>422</v>
      </c>
      <c r="S450" s="31">
        <f>R450/N450</f>
        <v>5.0238095238095237</v>
      </c>
      <c r="T450" s="32">
        <f>O450/R450</f>
        <v>0.71327014218009477</v>
      </c>
      <c r="U450" s="32">
        <f>P450/R450</f>
        <v>4.7393364928909949E-2</v>
      </c>
      <c r="V450" s="32">
        <f>Q450/R450</f>
        <v>0.23933649289099526</v>
      </c>
      <c r="W450" s="31">
        <f>P450/O450</f>
        <v>6.6445182724252497E-2</v>
      </c>
      <c r="X450" s="31">
        <f>Q450/(O450+P450)</f>
        <v>0.31464174454828658</v>
      </c>
      <c r="Y450" s="65">
        <f>R450/R$488</f>
        <v>1.2258924758670575E-3</v>
      </c>
      <c r="Z450" s="33">
        <v>431</v>
      </c>
      <c r="AA450" s="33">
        <v>457</v>
      </c>
      <c r="AB450" s="29">
        <v>453</v>
      </c>
      <c r="AC450" s="34">
        <f>Z450/R450</f>
        <v>1.0213270142180095</v>
      </c>
      <c r="AD450" s="34">
        <f>AA450/Z450</f>
        <v>1.0603248259860789</v>
      </c>
      <c r="AE450" s="34">
        <f>AB450/AA450</f>
        <v>0.99124726477024072</v>
      </c>
      <c r="AF450" s="35">
        <f>AB450/R450</f>
        <v>1.0734597156398105</v>
      </c>
      <c r="AG450" s="29">
        <f>0.6*Z450+0.4*AA450</f>
        <v>441.4</v>
      </c>
      <c r="AH450" s="54">
        <v>3331</v>
      </c>
      <c r="AI450" s="59">
        <f>AH450/AG450</f>
        <v>7.5464431354780253</v>
      </c>
      <c r="AJ450" s="61">
        <f>AI450/AI$488</f>
        <v>1.603651814566317</v>
      </c>
    </row>
    <row r="451" spans="1:36" ht="15" customHeight="1" x14ac:dyDescent="0.2">
      <c r="A451" s="28" t="s">
        <v>308</v>
      </c>
      <c r="B451" s="28"/>
      <c r="C451" s="28" t="s">
        <v>119</v>
      </c>
      <c r="D451" s="28">
        <v>31</v>
      </c>
      <c r="E451" s="27"/>
      <c r="F451" s="27"/>
      <c r="G451" s="27" t="s">
        <v>332</v>
      </c>
      <c r="H451" s="27">
        <v>18</v>
      </c>
      <c r="I451" s="27" t="s">
        <v>621</v>
      </c>
      <c r="J451" s="27">
        <v>7</v>
      </c>
      <c r="K451" s="27">
        <v>3</v>
      </c>
      <c r="L451" s="27">
        <v>55</v>
      </c>
      <c r="M451" s="29">
        <v>23</v>
      </c>
      <c r="N451" s="30">
        <v>24</v>
      </c>
      <c r="O451" s="30">
        <v>53</v>
      </c>
      <c r="P451" s="30">
        <v>28</v>
      </c>
      <c r="Q451" s="30">
        <v>28</v>
      </c>
      <c r="R451" s="30">
        <v>109</v>
      </c>
      <c r="S451" s="31">
        <f>R451/N451</f>
        <v>4.541666666666667</v>
      </c>
      <c r="T451" s="32">
        <f>O451/R451</f>
        <v>0.48623853211009177</v>
      </c>
      <c r="U451" s="32">
        <f>P451/R451</f>
        <v>0.25688073394495414</v>
      </c>
      <c r="V451" s="32">
        <f>Q451/R451</f>
        <v>0.25688073394495414</v>
      </c>
      <c r="W451" s="31">
        <f>P451/O451</f>
        <v>0.52830188679245282</v>
      </c>
      <c r="X451" s="31">
        <f>Q451/(O451+P451)</f>
        <v>0.34567901234567899</v>
      </c>
      <c r="Y451" s="65">
        <f>R451/R$488</f>
        <v>3.1664047362442953E-4</v>
      </c>
      <c r="Z451" s="33">
        <v>116</v>
      </c>
      <c r="AA451" s="33">
        <v>139</v>
      </c>
      <c r="AB451" s="29">
        <v>174</v>
      </c>
      <c r="AC451" s="34">
        <f>Z451/R451</f>
        <v>1.0642201834862386</v>
      </c>
      <c r="AD451" s="34">
        <f>AA451/Z451</f>
        <v>1.1982758620689655</v>
      </c>
      <c r="AE451" s="34">
        <f>AB451/AA451</f>
        <v>1.2517985611510791</v>
      </c>
      <c r="AF451" s="35">
        <f>AB451/R451</f>
        <v>1.5963302752293578</v>
      </c>
      <c r="AG451" s="29">
        <f>0.6*Z451+0.4*AA451</f>
        <v>125.19999999999999</v>
      </c>
      <c r="AH451" s="54">
        <v>736</v>
      </c>
      <c r="AI451" s="59">
        <f>AH451/AG451</f>
        <v>5.8785942492012788</v>
      </c>
      <c r="AJ451" s="61">
        <f>AI451/AI$488</f>
        <v>1.2492267105957042</v>
      </c>
    </row>
    <row r="452" spans="1:36" ht="15" customHeight="1" x14ac:dyDescent="0.2">
      <c r="A452" s="28" t="s">
        <v>275</v>
      </c>
      <c r="B452" s="28"/>
      <c r="C452" s="28" t="s">
        <v>123</v>
      </c>
      <c r="D452" s="28">
        <v>23</v>
      </c>
      <c r="E452" s="27"/>
      <c r="F452" s="27"/>
      <c r="G452" s="27" t="s">
        <v>30</v>
      </c>
      <c r="H452" s="27">
        <v>8</v>
      </c>
      <c r="I452" s="27" t="s">
        <v>619</v>
      </c>
      <c r="J452" s="27">
        <v>9</v>
      </c>
      <c r="K452" s="27">
        <v>1</v>
      </c>
      <c r="L452" s="27">
        <v>58</v>
      </c>
      <c r="M452" s="29">
        <v>75</v>
      </c>
      <c r="N452" s="30">
        <v>77</v>
      </c>
      <c r="O452" s="30">
        <v>70</v>
      </c>
      <c r="P452" s="30">
        <v>25</v>
      </c>
      <c r="Q452" s="30">
        <v>324</v>
      </c>
      <c r="R452" s="30">
        <v>419</v>
      </c>
      <c r="S452" s="31">
        <f>R452/N452</f>
        <v>5.4415584415584419</v>
      </c>
      <c r="T452" s="32">
        <f>O452/R452</f>
        <v>0.16706443914081145</v>
      </c>
      <c r="U452" s="32">
        <f>P452/R452</f>
        <v>5.9665871121718374E-2</v>
      </c>
      <c r="V452" s="32">
        <f>Q452/R452</f>
        <v>0.77326968973747012</v>
      </c>
      <c r="W452" s="31">
        <f>P452/O452</f>
        <v>0.35714285714285715</v>
      </c>
      <c r="X452" s="31">
        <f>Q452/(O452+P452)</f>
        <v>3.4105263157894736</v>
      </c>
      <c r="Y452" s="65">
        <f>R452/R$488</f>
        <v>1.2171776004462017E-3</v>
      </c>
      <c r="Z452" s="33">
        <v>438</v>
      </c>
      <c r="AA452" s="33">
        <v>469</v>
      </c>
      <c r="AB452" s="29">
        <v>547</v>
      </c>
      <c r="AC452" s="34">
        <f>Z452/R452</f>
        <v>1.0453460620525059</v>
      </c>
      <c r="AD452" s="34">
        <f>AA452/Z452</f>
        <v>1.0707762557077625</v>
      </c>
      <c r="AE452" s="34">
        <f>AB452/AA452</f>
        <v>1.1663113006396588</v>
      </c>
      <c r="AF452" s="35">
        <f>AB452/R452</f>
        <v>1.305489260143198</v>
      </c>
      <c r="AG452" s="29">
        <f>0.6*Z452+0.4*AA452</f>
        <v>450.40000000000003</v>
      </c>
      <c r="AH452" s="54">
        <v>1911</v>
      </c>
      <c r="AI452" s="59">
        <f>AH452/AG452</f>
        <v>4.2428952042628767</v>
      </c>
      <c r="AJ452" s="61">
        <f>AI452/AI$488</f>
        <v>0.90163358699977569</v>
      </c>
    </row>
    <row r="453" spans="1:36" ht="15" customHeight="1" x14ac:dyDescent="0.2">
      <c r="A453" s="28" t="s">
        <v>199</v>
      </c>
      <c r="B453" s="28"/>
      <c r="C453" s="28" t="s">
        <v>30</v>
      </c>
      <c r="D453" s="28">
        <v>14</v>
      </c>
      <c r="E453" s="27"/>
      <c r="F453" s="27"/>
      <c r="G453" s="27" t="s">
        <v>30</v>
      </c>
      <c r="H453" s="27">
        <v>8</v>
      </c>
      <c r="I453" s="27" t="s">
        <v>619</v>
      </c>
      <c r="J453" s="27">
        <v>9</v>
      </c>
      <c r="K453" s="27">
        <v>3</v>
      </c>
      <c r="L453" s="27">
        <v>53</v>
      </c>
      <c r="M453" s="29">
        <v>38</v>
      </c>
      <c r="N453" s="30">
        <v>38</v>
      </c>
      <c r="O453" s="30">
        <v>214</v>
      </c>
      <c r="P453" s="30">
        <v>6</v>
      </c>
      <c r="Q453" s="30">
        <v>0</v>
      </c>
      <c r="R453" s="30">
        <v>220</v>
      </c>
      <c r="S453" s="31">
        <f>R453/N453</f>
        <v>5.7894736842105265</v>
      </c>
      <c r="T453" s="32">
        <f>O453/R453</f>
        <v>0.97272727272727277</v>
      </c>
      <c r="U453" s="32">
        <f>P453/R453</f>
        <v>2.7272727272727271E-2</v>
      </c>
      <c r="V453" s="32">
        <f>Q453/R453</f>
        <v>0</v>
      </c>
      <c r="W453" s="31">
        <f>P453/O453</f>
        <v>2.8037383177570093E-2</v>
      </c>
      <c r="X453" s="31">
        <f>Q453/(O453+P453)</f>
        <v>0</v>
      </c>
      <c r="Y453" s="65">
        <f>R453/R$488</f>
        <v>6.3909086419609634E-4</v>
      </c>
      <c r="Z453" s="33">
        <v>224</v>
      </c>
      <c r="AA453" s="33">
        <v>247</v>
      </c>
      <c r="AB453" s="29">
        <v>258</v>
      </c>
      <c r="AC453" s="34">
        <f>Z453/R453</f>
        <v>1.0181818181818181</v>
      </c>
      <c r="AD453" s="34">
        <f>AA453/Z453</f>
        <v>1.1026785714285714</v>
      </c>
      <c r="AE453" s="34">
        <f>AB453/AA453</f>
        <v>1.0445344129554657</v>
      </c>
      <c r="AF453" s="35">
        <f>AB453/R453</f>
        <v>1.1727272727272726</v>
      </c>
      <c r="AG453" s="29">
        <f>0.6*Z453+0.4*AA453</f>
        <v>233.20000000000002</v>
      </c>
      <c r="AH453" s="54">
        <v>984</v>
      </c>
      <c r="AI453" s="59">
        <f>AH453/AG453</f>
        <v>4.219554030874785</v>
      </c>
      <c r="AJ453" s="61">
        <f>AI453/AI$488</f>
        <v>0.8966734866735776</v>
      </c>
    </row>
    <row r="454" spans="1:36" ht="15" customHeight="1" x14ac:dyDescent="0.2">
      <c r="A454" s="27" t="s">
        <v>390</v>
      </c>
      <c r="B454" s="27"/>
      <c r="C454" s="27" t="s">
        <v>330</v>
      </c>
      <c r="D454" s="27">
        <v>21</v>
      </c>
      <c r="E454" s="27"/>
      <c r="F454" s="27"/>
      <c r="G454" s="27" t="s">
        <v>330</v>
      </c>
      <c r="H454" s="27">
        <v>15</v>
      </c>
      <c r="I454" s="27" t="s">
        <v>624</v>
      </c>
      <c r="J454" s="27">
        <v>4</v>
      </c>
      <c r="K454" s="27">
        <v>4</v>
      </c>
      <c r="L454" s="27">
        <v>111</v>
      </c>
      <c r="M454" s="29">
        <v>81</v>
      </c>
      <c r="N454" s="30">
        <v>81</v>
      </c>
      <c r="O454" s="30">
        <v>95</v>
      </c>
      <c r="P454" s="30">
        <v>17</v>
      </c>
      <c r="Q454" s="30">
        <v>278</v>
      </c>
      <c r="R454" s="30">
        <v>390</v>
      </c>
      <c r="S454" s="31">
        <f>R454/N454</f>
        <v>4.8148148148148149</v>
      </c>
      <c r="T454" s="32">
        <f>O454/R454</f>
        <v>0.24358974358974358</v>
      </c>
      <c r="U454" s="32">
        <f>P454/R454</f>
        <v>4.3589743589743588E-2</v>
      </c>
      <c r="V454" s="32">
        <f>Q454/R454</f>
        <v>0.71282051282051284</v>
      </c>
      <c r="W454" s="31">
        <f>P454/O454</f>
        <v>0.17894736842105263</v>
      </c>
      <c r="X454" s="31">
        <f>Q454/(O454+P454)</f>
        <v>2.4821428571428572</v>
      </c>
      <c r="Y454" s="65">
        <f>R454/R$488</f>
        <v>1.1329338047112616E-3</v>
      </c>
      <c r="Z454" s="33">
        <v>450</v>
      </c>
      <c r="AA454" s="33">
        <v>564</v>
      </c>
      <c r="AB454" s="29">
        <v>652</v>
      </c>
      <c r="AC454" s="34">
        <f>Z454/R454</f>
        <v>1.1538461538461537</v>
      </c>
      <c r="AD454" s="34">
        <f>AA454/Z454</f>
        <v>1.2533333333333334</v>
      </c>
      <c r="AE454" s="34">
        <f>AB454/AA454</f>
        <v>1.1560283687943262</v>
      </c>
      <c r="AF454" s="35">
        <f>AB454/R454</f>
        <v>1.6717948717948719</v>
      </c>
      <c r="AG454" s="29">
        <f>0.6*Z454+0.4*AA454</f>
        <v>495.6</v>
      </c>
      <c r="AH454" s="54">
        <v>5533</v>
      </c>
      <c r="AI454" s="59">
        <f>AH454/AG454</f>
        <v>11.164245359160613</v>
      </c>
      <c r="AJ454" s="61">
        <f>AI454/AI$488</f>
        <v>2.3724504388447114</v>
      </c>
    </row>
    <row r="455" spans="1:36" ht="15" customHeight="1" x14ac:dyDescent="0.2">
      <c r="A455" s="28" t="s">
        <v>247</v>
      </c>
      <c r="B455" s="28"/>
      <c r="C455" s="28" t="s">
        <v>118</v>
      </c>
      <c r="D455" s="28">
        <v>19</v>
      </c>
      <c r="E455" s="27"/>
      <c r="F455" s="27"/>
      <c r="G455" s="27" t="s">
        <v>69</v>
      </c>
      <c r="H455" s="27">
        <v>5</v>
      </c>
      <c r="I455" s="27" t="s">
        <v>621</v>
      </c>
      <c r="J455" s="27">
        <v>7</v>
      </c>
      <c r="K455" s="27">
        <v>2</v>
      </c>
      <c r="L455" s="27">
        <v>85</v>
      </c>
      <c r="M455" s="29">
        <v>57</v>
      </c>
      <c r="N455" s="30">
        <v>58</v>
      </c>
      <c r="O455" s="30">
        <v>302</v>
      </c>
      <c r="P455" s="30">
        <v>16</v>
      </c>
      <c r="Q455" s="30">
        <v>5</v>
      </c>
      <c r="R455" s="30">
        <v>323</v>
      </c>
      <c r="S455" s="31">
        <f>R455/N455</f>
        <v>5.568965517241379</v>
      </c>
      <c r="T455" s="32">
        <f>O455/R455</f>
        <v>0.93498452012383904</v>
      </c>
      <c r="U455" s="32">
        <f>P455/R455</f>
        <v>4.9535603715170282E-2</v>
      </c>
      <c r="V455" s="32">
        <f>Q455/R455</f>
        <v>1.5479876160990712E-2</v>
      </c>
      <c r="W455" s="31">
        <f>P455/O455</f>
        <v>5.2980132450331126E-2</v>
      </c>
      <c r="X455" s="31">
        <f>Q455/(O455+P455)</f>
        <v>1.5723270440251572E-2</v>
      </c>
      <c r="Y455" s="65">
        <f>R455/R$488</f>
        <v>9.3830158697881419E-4</v>
      </c>
      <c r="Z455" s="33">
        <v>325</v>
      </c>
      <c r="AA455" s="33">
        <v>349</v>
      </c>
      <c r="AB455" s="29">
        <v>378</v>
      </c>
      <c r="AC455" s="34">
        <f>Z455/R455</f>
        <v>1.0061919504643964</v>
      </c>
      <c r="AD455" s="34">
        <f>AA455/Z455</f>
        <v>1.0738461538461539</v>
      </c>
      <c r="AE455" s="34">
        <f>AB455/AA455</f>
        <v>1.0830945558739256</v>
      </c>
      <c r="AF455" s="35">
        <f>AB455/R455</f>
        <v>1.1702786377708978</v>
      </c>
      <c r="AG455" s="29">
        <f>0.6*Z455+0.4*AA455</f>
        <v>334.6</v>
      </c>
      <c r="AH455" s="54">
        <v>1350</v>
      </c>
      <c r="AI455" s="59">
        <f>AH455/AG455</f>
        <v>4.0346682606096831</v>
      </c>
      <c r="AJ455" s="61">
        <f>AI455/AI$488</f>
        <v>0.85738446061847817</v>
      </c>
    </row>
    <row r="456" spans="1:36" ht="15" customHeight="1" x14ac:dyDescent="0.2">
      <c r="A456" s="28" t="s">
        <v>471</v>
      </c>
      <c r="B456" s="28"/>
      <c r="C456" s="28" t="s">
        <v>117</v>
      </c>
      <c r="D456" s="28">
        <v>3</v>
      </c>
      <c r="E456" s="27"/>
      <c r="F456" s="27"/>
      <c r="G456" s="27" t="s">
        <v>429</v>
      </c>
      <c r="H456" s="27">
        <v>26</v>
      </c>
      <c r="I456" s="27" t="s">
        <v>627</v>
      </c>
      <c r="J456" s="27">
        <v>99</v>
      </c>
      <c r="K456" s="27">
        <v>3</v>
      </c>
      <c r="L456" s="27">
        <v>54</v>
      </c>
      <c r="M456" s="29">
        <v>95</v>
      </c>
      <c r="N456" s="30">
        <v>104</v>
      </c>
      <c r="O456" s="30">
        <v>347</v>
      </c>
      <c r="P456" s="30">
        <v>7</v>
      </c>
      <c r="Q456" s="30">
        <v>135</v>
      </c>
      <c r="R456" s="30">
        <v>489</v>
      </c>
      <c r="S456" s="31">
        <f>R456/N456</f>
        <v>4.7019230769230766</v>
      </c>
      <c r="T456" s="32">
        <f>O456/R456</f>
        <v>0.70961145194274033</v>
      </c>
      <c r="U456" s="32">
        <f>P456/R456</f>
        <v>1.4314928425357873E-2</v>
      </c>
      <c r="V456" s="32">
        <f>Q456/R456</f>
        <v>0.27607361963190186</v>
      </c>
      <c r="W456" s="31">
        <f>P456/O456</f>
        <v>2.0172910662824207E-2</v>
      </c>
      <c r="X456" s="31">
        <f>Q456/(O456+P456)</f>
        <v>0.38135593220338981</v>
      </c>
      <c r="Y456" s="65">
        <f>R456/R$488</f>
        <v>1.4205246935995049E-3</v>
      </c>
      <c r="Z456" s="33">
        <v>491</v>
      </c>
      <c r="AA456" s="33">
        <v>635</v>
      </c>
      <c r="AB456" s="29">
        <v>661</v>
      </c>
      <c r="AC456" s="34">
        <f>Z456/R456</f>
        <v>1.0040899795501022</v>
      </c>
      <c r="AD456" s="34">
        <f>AA456/Z456</f>
        <v>1.2932790224032586</v>
      </c>
      <c r="AE456" s="34">
        <f>AB456/AA456</f>
        <v>1.0409448818897638</v>
      </c>
      <c r="AF456" s="35">
        <f>AB456/R456</f>
        <v>1.3517382413087935</v>
      </c>
      <c r="AG456" s="29">
        <f>0.6*Z456+0.4*AA456</f>
        <v>548.59999999999991</v>
      </c>
      <c r="AH456" s="54">
        <v>2809</v>
      </c>
      <c r="AI456" s="59">
        <f>AH456/AG456</f>
        <v>5.1203062340503109</v>
      </c>
      <c r="AJ456" s="61">
        <f>AI456/AI$488</f>
        <v>1.0880872267846053</v>
      </c>
    </row>
    <row r="457" spans="1:36" ht="15" customHeight="1" x14ac:dyDescent="0.2">
      <c r="A457" s="28" t="s">
        <v>286</v>
      </c>
      <c r="B457" s="28"/>
      <c r="C457" s="28" t="s">
        <v>110</v>
      </c>
      <c r="D457" s="27">
        <v>26</v>
      </c>
      <c r="E457" s="27"/>
      <c r="F457" s="27"/>
      <c r="G457" s="27" t="s">
        <v>287</v>
      </c>
      <c r="H457" s="27">
        <v>25</v>
      </c>
      <c r="I457" s="27" t="s">
        <v>624</v>
      </c>
      <c r="J457" s="27">
        <v>4</v>
      </c>
      <c r="K457" s="27">
        <v>4</v>
      </c>
      <c r="L457" s="27">
        <v>112</v>
      </c>
      <c r="M457" s="29">
        <v>104</v>
      </c>
      <c r="N457" s="30">
        <v>116</v>
      </c>
      <c r="O457" s="30">
        <v>171</v>
      </c>
      <c r="P457" s="30">
        <v>53</v>
      </c>
      <c r="Q457" s="30">
        <v>431</v>
      </c>
      <c r="R457" s="30">
        <v>655</v>
      </c>
      <c r="S457" s="31">
        <f>R457/N457</f>
        <v>5.6465517241379306</v>
      </c>
      <c r="T457" s="32">
        <f>O457/R457</f>
        <v>0.26106870229007634</v>
      </c>
      <c r="U457" s="32">
        <f>P457/R457</f>
        <v>8.0916030534351147E-2</v>
      </c>
      <c r="V457" s="32">
        <f>Q457/R457</f>
        <v>0.65801526717557257</v>
      </c>
      <c r="W457" s="31">
        <f>P457/O457</f>
        <v>0.30994152046783624</v>
      </c>
      <c r="X457" s="31">
        <f>Q457/(O457+P457)</f>
        <v>1.9241071428571428</v>
      </c>
      <c r="Y457" s="65">
        <f>R457/R$488</f>
        <v>1.9027478002201959E-3</v>
      </c>
      <c r="Z457" s="33">
        <v>732</v>
      </c>
      <c r="AA457" s="33">
        <v>778</v>
      </c>
      <c r="AB457" s="29">
        <v>872</v>
      </c>
      <c r="AC457" s="34">
        <f>Z457/R457</f>
        <v>1.1175572519083969</v>
      </c>
      <c r="AD457" s="34">
        <f>AA457/Z457</f>
        <v>1.0628415300546448</v>
      </c>
      <c r="AE457" s="34">
        <f>AB457/AA457</f>
        <v>1.1208226221079691</v>
      </c>
      <c r="AF457" s="35">
        <f>AB457/R457</f>
        <v>1.331297709923664</v>
      </c>
      <c r="AG457" s="29">
        <f>0.6*Z457+0.4*AA457</f>
        <v>750.40000000000009</v>
      </c>
      <c r="AH457" s="54">
        <v>7173</v>
      </c>
      <c r="AI457" s="59">
        <f>AH457/AG457</f>
        <v>9.5589019189765452</v>
      </c>
      <c r="AJ457" s="61">
        <f>AI457/AI$488</f>
        <v>2.0313080125869352</v>
      </c>
    </row>
    <row r="458" spans="1:36" ht="15" customHeight="1" x14ac:dyDescent="0.2">
      <c r="A458" s="27" t="s">
        <v>418</v>
      </c>
      <c r="B458" s="27"/>
      <c r="C458" s="27" t="s">
        <v>332</v>
      </c>
      <c r="D458" s="27">
        <v>25</v>
      </c>
      <c r="E458" s="27"/>
      <c r="F458" s="27"/>
      <c r="G458" s="27" t="s">
        <v>332</v>
      </c>
      <c r="H458" s="27">
        <v>18</v>
      </c>
      <c r="I458" s="27" t="s">
        <v>620</v>
      </c>
      <c r="J458" s="27">
        <v>10</v>
      </c>
      <c r="K458" s="27">
        <v>1</v>
      </c>
      <c r="L458" s="27">
        <v>60</v>
      </c>
      <c r="M458" s="29">
        <v>34</v>
      </c>
      <c r="N458" s="30">
        <v>40</v>
      </c>
      <c r="O458" s="30">
        <v>203</v>
      </c>
      <c r="P458" s="30">
        <v>12</v>
      </c>
      <c r="Q458" s="30">
        <v>0</v>
      </c>
      <c r="R458" s="30">
        <v>215</v>
      </c>
      <c r="S458" s="31">
        <f>R458/N458</f>
        <v>5.375</v>
      </c>
      <c r="T458" s="32">
        <f>O458/R458</f>
        <v>0.94418604651162785</v>
      </c>
      <c r="U458" s="32">
        <f>P458/R458</f>
        <v>5.5813953488372092E-2</v>
      </c>
      <c r="V458" s="32">
        <f>Q458/R458</f>
        <v>0</v>
      </c>
      <c r="W458" s="31">
        <f>P458/O458</f>
        <v>5.9113300492610835E-2</v>
      </c>
      <c r="X458" s="31">
        <f>Q458/(O458+P458)</f>
        <v>0</v>
      </c>
      <c r="Y458" s="65">
        <f>R458/R$488</f>
        <v>6.2456607182800319E-4</v>
      </c>
      <c r="Z458" s="33">
        <v>199</v>
      </c>
      <c r="AA458" s="33">
        <v>220</v>
      </c>
      <c r="AB458" s="29">
        <v>226</v>
      </c>
      <c r="AC458" s="34">
        <f>Z458/R458</f>
        <v>0.92558139534883721</v>
      </c>
      <c r="AD458" s="34">
        <f>AA458/Z458</f>
        <v>1.1055276381909547</v>
      </c>
      <c r="AE458" s="34">
        <f>AB458/AA458</f>
        <v>1.0272727272727273</v>
      </c>
      <c r="AF458" s="35">
        <f>AB458/R458</f>
        <v>1.0511627906976744</v>
      </c>
      <c r="AG458" s="29">
        <f>0.6*Z458+0.4*AA458</f>
        <v>207.39999999999998</v>
      </c>
      <c r="AH458" s="54">
        <v>1454</v>
      </c>
      <c r="AI458" s="59">
        <f>AH458/AG458</f>
        <v>7.0106075216972039</v>
      </c>
      <c r="AJ458" s="61">
        <f>AI458/AI$488</f>
        <v>1.4897844284451547</v>
      </c>
    </row>
    <row r="459" spans="1:36" ht="15" customHeight="1" x14ac:dyDescent="0.2">
      <c r="A459" s="27" t="s">
        <v>368</v>
      </c>
      <c r="B459" s="27"/>
      <c r="C459" s="27" t="s">
        <v>325</v>
      </c>
      <c r="D459" s="27">
        <v>4</v>
      </c>
      <c r="E459" s="27"/>
      <c r="F459" s="27"/>
      <c r="G459" s="27" t="s">
        <v>331</v>
      </c>
      <c r="H459" s="27">
        <v>17</v>
      </c>
      <c r="I459" s="27" t="s">
        <v>620</v>
      </c>
      <c r="J459" s="27">
        <v>10</v>
      </c>
      <c r="K459" s="27">
        <v>1</v>
      </c>
      <c r="L459" s="27">
        <v>61</v>
      </c>
      <c r="M459" s="29">
        <v>42</v>
      </c>
      <c r="N459" s="30">
        <v>54</v>
      </c>
      <c r="O459" s="30">
        <v>118</v>
      </c>
      <c r="P459" s="30">
        <v>11</v>
      </c>
      <c r="Q459" s="30">
        <v>128</v>
      </c>
      <c r="R459" s="30">
        <v>257</v>
      </c>
      <c r="S459" s="31">
        <f>R459/N459</f>
        <v>4.7592592592592595</v>
      </c>
      <c r="T459" s="32">
        <f>O459/R459</f>
        <v>0.45914396887159531</v>
      </c>
      <c r="U459" s="32">
        <f>P459/R459</f>
        <v>4.2801556420233464E-2</v>
      </c>
      <c r="V459" s="32">
        <f>Q459/R459</f>
        <v>0.49805447470817121</v>
      </c>
      <c r="W459" s="31">
        <f>P459/O459</f>
        <v>9.3220338983050849E-2</v>
      </c>
      <c r="X459" s="31">
        <f>Q459/(O459+P459)</f>
        <v>0.99224806201550386</v>
      </c>
      <c r="Y459" s="65">
        <f>R459/R$488</f>
        <v>7.4657432771998522E-4</v>
      </c>
      <c r="Z459" s="33">
        <v>256</v>
      </c>
      <c r="AA459" s="33">
        <v>288</v>
      </c>
      <c r="AB459" s="29">
        <v>273</v>
      </c>
      <c r="AC459" s="34">
        <f>Z459/R459</f>
        <v>0.99610894941634243</v>
      </c>
      <c r="AD459" s="34">
        <f>AA459/Z459</f>
        <v>1.125</v>
      </c>
      <c r="AE459" s="34">
        <f>AB459/AA459</f>
        <v>0.94791666666666663</v>
      </c>
      <c r="AF459" s="35">
        <f>AB459/R459</f>
        <v>1.0622568093385214</v>
      </c>
      <c r="AG459" s="29">
        <f>0.6*Z459+0.4*AA459</f>
        <v>268.8</v>
      </c>
      <c r="AH459" s="54">
        <v>1222</v>
      </c>
      <c r="AI459" s="59">
        <f>AH459/AG459</f>
        <v>4.5461309523809526</v>
      </c>
      <c r="AJ459" s="61">
        <f>AI459/AI$488</f>
        <v>0.96607249536771422</v>
      </c>
    </row>
    <row r="460" spans="1:36" ht="15" customHeight="1" x14ac:dyDescent="0.2">
      <c r="A460" s="27" t="s">
        <v>369</v>
      </c>
      <c r="B460" s="27"/>
      <c r="C460" s="27" t="s">
        <v>325</v>
      </c>
      <c r="D460" s="27">
        <v>4</v>
      </c>
      <c r="E460" s="27"/>
      <c r="F460" s="27"/>
      <c r="G460" s="27" t="s">
        <v>331</v>
      </c>
      <c r="H460" s="27">
        <v>17</v>
      </c>
      <c r="I460" s="27" t="s">
        <v>620</v>
      </c>
      <c r="J460" s="27">
        <v>10</v>
      </c>
      <c r="K460" s="27">
        <v>1</v>
      </c>
      <c r="L460" s="27">
        <v>62</v>
      </c>
      <c r="M460" s="29">
        <v>63</v>
      </c>
      <c r="N460" s="30">
        <v>65</v>
      </c>
      <c r="O460" s="30">
        <v>65</v>
      </c>
      <c r="P460" s="30">
        <v>58</v>
      </c>
      <c r="Q460" s="30">
        <v>213</v>
      </c>
      <c r="R460" s="30">
        <v>336</v>
      </c>
      <c r="S460" s="31">
        <f>R460/N460</f>
        <v>5.1692307692307695</v>
      </c>
      <c r="T460" s="32">
        <f>O460/R460</f>
        <v>0.19345238095238096</v>
      </c>
      <c r="U460" s="32">
        <f>P460/R460</f>
        <v>0.17261904761904762</v>
      </c>
      <c r="V460" s="32">
        <f>Q460/R460</f>
        <v>0.6339285714285714</v>
      </c>
      <c r="W460" s="31">
        <f>P460/O460</f>
        <v>0.89230769230769236</v>
      </c>
      <c r="X460" s="31">
        <f>Q460/(O460+P460)</f>
        <v>1.7317073170731707</v>
      </c>
      <c r="Y460" s="65">
        <f>R460/R$488</f>
        <v>9.7606604713585624E-4</v>
      </c>
      <c r="Z460" s="33">
        <v>450</v>
      </c>
      <c r="AA460" s="33">
        <v>562</v>
      </c>
      <c r="AB460" s="29">
        <v>628</v>
      </c>
      <c r="AC460" s="34">
        <f>Z460/R460</f>
        <v>1.3392857142857142</v>
      </c>
      <c r="AD460" s="34">
        <f>AA460/Z460</f>
        <v>1.2488888888888889</v>
      </c>
      <c r="AE460" s="34">
        <f>AB460/AA460</f>
        <v>1.1174377224199288</v>
      </c>
      <c r="AF460" s="35">
        <f>AB460/R460</f>
        <v>1.8690476190476191</v>
      </c>
      <c r="AG460" s="29">
        <f>0.6*Z460+0.4*AA460</f>
        <v>494.8</v>
      </c>
      <c r="AH460" s="54">
        <v>2826</v>
      </c>
      <c r="AI460" s="59">
        <f>AH460/AG460</f>
        <v>5.7113985448666122</v>
      </c>
      <c r="AJ460" s="61">
        <f>AI460/AI$488</f>
        <v>1.2136969000835898</v>
      </c>
    </row>
    <row r="461" spans="1:36" ht="15" customHeight="1" x14ac:dyDescent="0.2">
      <c r="A461" s="27" t="s">
        <v>320</v>
      </c>
      <c r="B461" s="27"/>
      <c r="C461" s="27" t="s">
        <v>116</v>
      </c>
      <c r="D461" s="27">
        <v>32</v>
      </c>
      <c r="E461" s="27"/>
      <c r="F461" s="27"/>
      <c r="G461" s="27" t="s">
        <v>106</v>
      </c>
      <c r="H461" s="27">
        <v>12</v>
      </c>
      <c r="I461" s="27" t="s">
        <v>111</v>
      </c>
      <c r="J461" s="27">
        <v>5</v>
      </c>
      <c r="K461" s="27">
        <v>4</v>
      </c>
      <c r="L461" s="27">
        <v>115</v>
      </c>
      <c r="M461" s="29">
        <v>7</v>
      </c>
      <c r="N461" s="30">
        <v>7</v>
      </c>
      <c r="O461" s="30">
        <v>25</v>
      </c>
      <c r="P461" s="30">
        <v>0</v>
      </c>
      <c r="Q461" s="30">
        <v>28</v>
      </c>
      <c r="R461" s="30">
        <v>53</v>
      </c>
      <c r="S461" s="31">
        <f>R461/N461</f>
        <v>7.5714285714285712</v>
      </c>
      <c r="T461" s="32">
        <f>O461/R461</f>
        <v>0.47169811320754718</v>
      </c>
      <c r="U461" s="32">
        <f>P461/R461</f>
        <v>0</v>
      </c>
      <c r="V461" s="32">
        <f>Q461/R461</f>
        <v>0.52830188679245282</v>
      </c>
      <c r="W461" s="31">
        <f>P461/O461</f>
        <v>0</v>
      </c>
      <c r="X461" s="31">
        <f>Q461/(O461+P461)</f>
        <v>1.1200000000000001</v>
      </c>
      <c r="Y461" s="65">
        <f>R461/R$488</f>
        <v>1.5396279910178683E-4</v>
      </c>
      <c r="Z461" s="33">
        <v>52</v>
      </c>
      <c r="AA461" s="33">
        <v>42</v>
      </c>
      <c r="AB461" s="29">
        <v>50</v>
      </c>
      <c r="AC461" s="34">
        <f>Z461/R461</f>
        <v>0.98113207547169812</v>
      </c>
      <c r="AD461" s="34">
        <f>AA461/Z461</f>
        <v>0.80769230769230771</v>
      </c>
      <c r="AE461" s="34">
        <f>AB461/AA461</f>
        <v>1.1904761904761905</v>
      </c>
      <c r="AF461" s="35">
        <f>AB461/R461</f>
        <v>0.94339622641509435</v>
      </c>
      <c r="AG461" s="29">
        <f>0.6*Z461+0.4*AA461</f>
        <v>48</v>
      </c>
      <c r="AH461" s="54">
        <v>758</v>
      </c>
      <c r="AI461" s="59">
        <f>AH461/AG461</f>
        <v>15.791666666666666</v>
      </c>
      <c r="AJ461" s="61">
        <f>AI461/AI$488</f>
        <v>3.355797486364053</v>
      </c>
    </row>
    <row r="462" spans="1:36" ht="15" customHeight="1" x14ac:dyDescent="0.2">
      <c r="A462" s="28" t="s">
        <v>150</v>
      </c>
      <c r="B462" s="28"/>
      <c r="C462" s="28" t="s">
        <v>117</v>
      </c>
      <c r="D462" s="28">
        <v>3</v>
      </c>
      <c r="E462" s="27"/>
      <c r="F462" s="27"/>
      <c r="G462" s="27" t="s">
        <v>138</v>
      </c>
      <c r="H462" s="27">
        <v>9</v>
      </c>
      <c r="I462" s="27" t="s">
        <v>619</v>
      </c>
      <c r="J462" s="27">
        <v>9</v>
      </c>
      <c r="K462" s="27">
        <v>3</v>
      </c>
      <c r="L462" s="27">
        <v>58</v>
      </c>
      <c r="M462" s="29">
        <v>41</v>
      </c>
      <c r="N462" s="30">
        <v>55</v>
      </c>
      <c r="O462" s="30">
        <v>173</v>
      </c>
      <c r="P462" s="30">
        <v>9</v>
      </c>
      <c r="Q462" s="30">
        <v>92</v>
      </c>
      <c r="R462" s="30">
        <v>274</v>
      </c>
      <c r="S462" s="31">
        <f>R462/N462</f>
        <v>4.9818181818181815</v>
      </c>
      <c r="T462" s="32">
        <f>O462/R462</f>
        <v>0.63138686131386856</v>
      </c>
      <c r="U462" s="32">
        <f>P462/R462</f>
        <v>3.2846715328467155E-2</v>
      </c>
      <c r="V462" s="32">
        <f>Q462/R462</f>
        <v>0.33576642335766421</v>
      </c>
      <c r="W462" s="31">
        <f>P462/O462</f>
        <v>5.2023121387283239E-2</v>
      </c>
      <c r="X462" s="31">
        <f>Q462/(O462+P462)</f>
        <v>0.50549450549450547</v>
      </c>
      <c r="Y462" s="65">
        <f>R462/R$488</f>
        <v>7.9595862177150173E-4</v>
      </c>
      <c r="Z462" s="33">
        <v>314</v>
      </c>
      <c r="AA462" s="33">
        <v>425</v>
      </c>
      <c r="AB462" s="29">
        <v>400</v>
      </c>
      <c r="AC462" s="34">
        <f>Z462/R462</f>
        <v>1.1459854014598541</v>
      </c>
      <c r="AD462" s="34">
        <f>AA462/Z462</f>
        <v>1.3535031847133758</v>
      </c>
      <c r="AE462" s="34">
        <f>AB462/AA462</f>
        <v>0.94117647058823528</v>
      </c>
      <c r="AF462" s="35">
        <f>AB462/R462</f>
        <v>1.4598540145985401</v>
      </c>
      <c r="AG462" s="29">
        <f>0.6*Z462+0.4*AA462</f>
        <v>358.4</v>
      </c>
      <c r="AH462" s="54">
        <v>1243</v>
      </c>
      <c r="AI462" s="59">
        <f>AH462/AG462</f>
        <v>3.4681919642857144</v>
      </c>
      <c r="AJ462" s="61">
        <f>AI462/AI$488</f>
        <v>0.737005796895705</v>
      </c>
    </row>
    <row r="463" spans="1:36" ht="15" customHeight="1" x14ac:dyDescent="0.2">
      <c r="A463" s="27" t="s">
        <v>38</v>
      </c>
      <c r="B463" s="27"/>
      <c r="C463" s="27" t="s">
        <v>35</v>
      </c>
      <c r="D463" s="27">
        <v>11</v>
      </c>
      <c r="E463" s="27"/>
      <c r="F463" s="27"/>
      <c r="G463" s="27" t="s">
        <v>106</v>
      </c>
      <c r="H463" s="27">
        <v>12</v>
      </c>
      <c r="I463" s="27" t="s">
        <v>111</v>
      </c>
      <c r="J463" s="27">
        <v>5</v>
      </c>
      <c r="K463" s="27">
        <v>6</v>
      </c>
      <c r="L463" s="27">
        <v>73</v>
      </c>
      <c r="M463" s="29">
        <v>354</v>
      </c>
      <c r="N463" s="30">
        <v>410</v>
      </c>
      <c r="O463" s="30">
        <v>20</v>
      </c>
      <c r="P463" s="30">
        <v>89</v>
      </c>
      <c r="Q463" s="30">
        <v>1419</v>
      </c>
      <c r="R463" s="30">
        <v>1528</v>
      </c>
      <c r="S463" s="31">
        <f>R463/N463</f>
        <v>3.7268292682926831</v>
      </c>
      <c r="T463" s="32">
        <f>O463/R463</f>
        <v>1.3089005235602094E-2</v>
      </c>
      <c r="U463" s="32">
        <f>P463/R463</f>
        <v>5.8246073298429318E-2</v>
      </c>
      <c r="V463" s="32">
        <f>Q463/R463</f>
        <v>0.92866492146596857</v>
      </c>
      <c r="W463" s="31">
        <f>P463/O463</f>
        <v>4.45</v>
      </c>
      <c r="X463" s="31">
        <f>Q463/(O463+P463)</f>
        <v>13.01834862385321</v>
      </c>
      <c r="Y463" s="65">
        <f>R463/R$488</f>
        <v>4.4387765476892509E-3</v>
      </c>
      <c r="Z463" s="29">
        <v>2080</v>
      </c>
      <c r="AA463" s="29">
        <v>2514</v>
      </c>
      <c r="AB463" s="29">
        <v>2878</v>
      </c>
      <c r="AC463" s="34">
        <f>Z463/R463</f>
        <v>1.3612565445026179</v>
      </c>
      <c r="AD463" s="34">
        <f>AA463/Z463</f>
        <v>1.2086538461538461</v>
      </c>
      <c r="AE463" s="34">
        <f>AB463/AA463</f>
        <v>1.1447891805887032</v>
      </c>
      <c r="AF463" s="35">
        <f>AB463/R463</f>
        <v>1.8835078534031413</v>
      </c>
      <c r="AG463" s="29">
        <f>0.6*Z463+0.4*AA463</f>
        <v>2253.6</v>
      </c>
      <c r="AH463" s="54">
        <v>4383</v>
      </c>
      <c r="AI463" s="59">
        <f>AH463/AG463</f>
        <v>1.944888178913738</v>
      </c>
      <c r="AJ463" s="61">
        <f>AI463/AI$488</f>
        <v>0.41329715221474722</v>
      </c>
    </row>
    <row r="464" spans="1:36" ht="15" customHeight="1" x14ac:dyDescent="0.2">
      <c r="A464" s="28" t="s">
        <v>309</v>
      </c>
      <c r="B464" s="28"/>
      <c r="C464" s="28" t="s">
        <v>119</v>
      </c>
      <c r="D464" s="28">
        <v>31</v>
      </c>
      <c r="E464" s="27"/>
      <c r="F464" s="27"/>
      <c r="G464" s="27" t="s">
        <v>332</v>
      </c>
      <c r="H464" s="27">
        <v>18</v>
      </c>
      <c r="I464" s="27" t="s">
        <v>620</v>
      </c>
      <c r="J464" s="27">
        <v>10</v>
      </c>
      <c r="K464" s="27">
        <v>3</v>
      </c>
      <c r="L464" s="27">
        <v>56</v>
      </c>
      <c r="M464" s="29">
        <v>26</v>
      </c>
      <c r="N464" s="30">
        <v>27</v>
      </c>
      <c r="O464" s="30">
        <v>146</v>
      </c>
      <c r="P464" s="30">
        <v>12</v>
      </c>
      <c r="Q464" s="30">
        <v>0</v>
      </c>
      <c r="R464" s="30">
        <v>158</v>
      </c>
      <c r="S464" s="31">
        <f>R464/N464</f>
        <v>5.8518518518518521</v>
      </c>
      <c r="T464" s="32">
        <f>O464/R464</f>
        <v>0.92405063291139244</v>
      </c>
      <c r="U464" s="32">
        <f>P464/R464</f>
        <v>7.5949367088607597E-2</v>
      </c>
      <c r="V464" s="32">
        <f>Q464/R464</f>
        <v>0</v>
      </c>
      <c r="W464" s="31">
        <f>P464/O464</f>
        <v>8.2191780821917804E-2</v>
      </c>
      <c r="X464" s="31">
        <f>Q464/(O464+P464)</f>
        <v>0</v>
      </c>
      <c r="Y464" s="65">
        <f>R464/R$488</f>
        <v>4.5898343883174188E-4</v>
      </c>
      <c r="Z464" s="33">
        <v>151</v>
      </c>
      <c r="AA464" s="33">
        <v>172</v>
      </c>
      <c r="AB464" s="29">
        <v>187</v>
      </c>
      <c r="AC464" s="34">
        <f>Z464/R464</f>
        <v>0.95569620253164556</v>
      </c>
      <c r="AD464" s="34">
        <f>AA464/Z464</f>
        <v>1.1390728476821192</v>
      </c>
      <c r="AE464" s="34">
        <f>AB464/AA464</f>
        <v>1.0872093023255813</v>
      </c>
      <c r="AF464" s="35">
        <f>AB464/R464</f>
        <v>1.1835443037974684</v>
      </c>
      <c r="AG464" s="29">
        <f>0.6*Z464+0.4*AA464</f>
        <v>159.39999999999998</v>
      </c>
      <c r="AH464" s="54">
        <v>1209</v>
      </c>
      <c r="AI464" s="59">
        <f>AH464/AG464</f>
        <v>7.5846925972396502</v>
      </c>
      <c r="AJ464" s="61">
        <f>AI464/AI$488</f>
        <v>1.6117799906698171</v>
      </c>
    </row>
    <row r="465" spans="1:36" ht="15" customHeight="1" x14ac:dyDescent="0.2">
      <c r="A465" s="27" t="s">
        <v>504</v>
      </c>
      <c r="B465" s="27"/>
      <c r="C465" s="27" t="s">
        <v>327</v>
      </c>
      <c r="D465" s="27">
        <v>12</v>
      </c>
      <c r="E465" s="27"/>
      <c r="F465" s="27"/>
      <c r="G465" s="27" t="s">
        <v>350</v>
      </c>
      <c r="H465" s="27">
        <v>2</v>
      </c>
      <c r="I465" s="27" t="s">
        <v>620</v>
      </c>
      <c r="J465" s="27">
        <v>10</v>
      </c>
      <c r="K465" s="27">
        <v>1</v>
      </c>
      <c r="L465" s="27">
        <v>59</v>
      </c>
      <c r="M465" s="29">
        <v>83</v>
      </c>
      <c r="N465" s="30">
        <v>86</v>
      </c>
      <c r="O465" s="30">
        <v>99</v>
      </c>
      <c r="P465" s="30">
        <v>39</v>
      </c>
      <c r="Q465" s="30">
        <v>270</v>
      </c>
      <c r="R465" s="30">
        <v>408</v>
      </c>
      <c r="S465" s="31">
        <f>R465/N465</f>
        <v>4.7441860465116283</v>
      </c>
      <c r="T465" s="32">
        <f>O465/R465</f>
        <v>0.24264705882352941</v>
      </c>
      <c r="U465" s="32">
        <f>P465/R465</f>
        <v>9.5588235294117641E-2</v>
      </c>
      <c r="V465" s="32">
        <f>Q465/R465</f>
        <v>0.66176470588235292</v>
      </c>
      <c r="W465" s="31">
        <f>P465/O465</f>
        <v>0.39393939393939392</v>
      </c>
      <c r="X465" s="31">
        <f>Q465/(O465+P465)</f>
        <v>1.9565217391304348</v>
      </c>
      <c r="Y465" s="65">
        <f>R465/R$488</f>
        <v>1.1852230572363968E-3</v>
      </c>
      <c r="Z465" s="33">
        <v>391</v>
      </c>
      <c r="AA465" s="33">
        <v>452</v>
      </c>
      <c r="AB465" s="29">
        <v>484</v>
      </c>
      <c r="AC465" s="34">
        <f>Z465/R465</f>
        <v>0.95833333333333337</v>
      </c>
      <c r="AD465" s="34">
        <f>AA465/Z465</f>
        <v>1.156010230179028</v>
      </c>
      <c r="AE465" s="34">
        <f>AB465/AA465</f>
        <v>1.0707964601769913</v>
      </c>
      <c r="AF465" s="35">
        <f>AB465/R465</f>
        <v>1.1862745098039216</v>
      </c>
      <c r="AG465" s="29">
        <f>0.6*Z465+0.4*AA465</f>
        <v>415.4</v>
      </c>
      <c r="AH465" s="54">
        <v>2236</v>
      </c>
      <c r="AI465" s="59">
        <f>AH465/AG465</f>
        <v>5.3827636013480982</v>
      </c>
      <c r="AJ465" s="61">
        <f>AI465/AI$488</f>
        <v>1.1438605528081816</v>
      </c>
    </row>
    <row r="466" spans="1:36" ht="15" customHeight="1" x14ac:dyDescent="0.2">
      <c r="A466" s="27" t="s">
        <v>374</v>
      </c>
      <c r="B466" s="27"/>
      <c r="C466" s="27" t="s">
        <v>326</v>
      </c>
      <c r="D466" s="27">
        <v>5</v>
      </c>
      <c r="E466" s="27"/>
      <c r="F466" s="27"/>
      <c r="G466" s="27" t="s">
        <v>172</v>
      </c>
      <c r="H466" s="27">
        <v>1</v>
      </c>
      <c r="I466" s="27" t="s">
        <v>618</v>
      </c>
      <c r="J466" s="27">
        <v>6</v>
      </c>
      <c r="K466" s="27">
        <v>6</v>
      </c>
      <c r="L466" s="27">
        <v>74</v>
      </c>
      <c r="M466" s="29">
        <v>79</v>
      </c>
      <c r="N466" s="30">
        <v>89</v>
      </c>
      <c r="O466" s="30">
        <v>220</v>
      </c>
      <c r="P466" s="30">
        <v>21</v>
      </c>
      <c r="Q466" s="30">
        <v>242</v>
      </c>
      <c r="R466" s="30">
        <v>483</v>
      </c>
      <c r="S466" s="31">
        <f>R466/N466</f>
        <v>5.4269662921348312</v>
      </c>
      <c r="T466" s="32">
        <f>O466/R466</f>
        <v>0.45548654244306419</v>
      </c>
      <c r="U466" s="32">
        <f>P466/R466</f>
        <v>4.3478260869565216E-2</v>
      </c>
      <c r="V466" s="32">
        <f>Q466/R466</f>
        <v>0.50103519668737062</v>
      </c>
      <c r="W466" s="31">
        <f>P466/O466</f>
        <v>9.5454545454545459E-2</v>
      </c>
      <c r="X466" s="31">
        <f>Q466/(O466+P466)</f>
        <v>1.004149377593361</v>
      </c>
      <c r="Y466" s="65">
        <f>R466/R$488</f>
        <v>1.4030949427577932E-3</v>
      </c>
      <c r="Z466" s="33">
        <v>461</v>
      </c>
      <c r="AA466" s="33">
        <v>557</v>
      </c>
      <c r="AB466" s="29">
        <v>739</v>
      </c>
      <c r="AC466" s="34">
        <f>Z466/R466</f>
        <v>0.95445134575569357</v>
      </c>
      <c r="AD466" s="34">
        <f>AA466/Z466</f>
        <v>1.2082429501084599</v>
      </c>
      <c r="AE466" s="34">
        <f>AB466/AA466</f>
        <v>1.3267504488330342</v>
      </c>
      <c r="AF466" s="35">
        <f>AB466/R466</f>
        <v>1.5300207039337475</v>
      </c>
      <c r="AG466" s="29">
        <f>0.6*Z466+0.4*AA466</f>
        <v>499.4</v>
      </c>
      <c r="AH466" s="54">
        <v>3814</v>
      </c>
      <c r="AI466" s="59">
        <f>AH466/AG466</f>
        <v>7.637164597517021</v>
      </c>
      <c r="AJ466" s="61">
        <f>AI466/AI$488</f>
        <v>1.6229305177390705</v>
      </c>
    </row>
    <row r="467" spans="1:36" ht="15" customHeight="1" x14ac:dyDescent="0.2">
      <c r="A467" s="28" t="s">
        <v>254</v>
      </c>
      <c r="B467" s="28"/>
      <c r="C467" s="28" t="s">
        <v>115</v>
      </c>
      <c r="D467" s="28">
        <v>22</v>
      </c>
      <c r="E467" s="27"/>
      <c r="F467" s="27"/>
      <c r="G467" s="27" t="s">
        <v>428</v>
      </c>
      <c r="H467" s="27">
        <v>19</v>
      </c>
      <c r="I467" s="27" t="s">
        <v>622</v>
      </c>
      <c r="J467" s="27">
        <v>8</v>
      </c>
      <c r="K467" s="27">
        <v>4</v>
      </c>
      <c r="L467" s="27">
        <v>108</v>
      </c>
      <c r="M467" s="29">
        <v>79</v>
      </c>
      <c r="N467" s="30">
        <v>79</v>
      </c>
      <c r="O467" s="30">
        <v>460</v>
      </c>
      <c r="P467" s="30">
        <v>11</v>
      </c>
      <c r="Q467" s="30">
        <v>7</v>
      </c>
      <c r="R467" s="30">
        <v>478</v>
      </c>
      <c r="S467" s="31">
        <f>R467/N467</f>
        <v>6.0506329113924053</v>
      </c>
      <c r="T467" s="32">
        <f>O467/R467</f>
        <v>0.96234309623430958</v>
      </c>
      <c r="U467" s="32">
        <f>P467/R467</f>
        <v>2.3012552301255231E-2</v>
      </c>
      <c r="V467" s="32">
        <f>Q467/R467</f>
        <v>1.4644351464435146E-2</v>
      </c>
      <c r="W467" s="31">
        <f>P467/O467</f>
        <v>2.391304347826087E-2</v>
      </c>
      <c r="X467" s="31">
        <f>Q467/(O467+P467)</f>
        <v>1.4861995753715499E-2</v>
      </c>
      <c r="Y467" s="65">
        <f>R467/R$488</f>
        <v>1.3885701503897003E-3</v>
      </c>
      <c r="Z467" s="33">
        <v>595</v>
      </c>
      <c r="AA467" s="33">
        <v>692</v>
      </c>
      <c r="AB467" s="29">
        <v>791</v>
      </c>
      <c r="AC467" s="34">
        <f>Z467/R467</f>
        <v>1.2447698744769875</v>
      </c>
      <c r="AD467" s="34">
        <f>AA467/Z467</f>
        <v>1.1630252100840337</v>
      </c>
      <c r="AE467" s="34">
        <f>AB467/AA467</f>
        <v>1.1430635838150289</v>
      </c>
      <c r="AF467" s="35">
        <f>AB467/R467</f>
        <v>1.6548117154811715</v>
      </c>
      <c r="AG467" s="29">
        <f>0.6*Z467+0.4*AA467</f>
        <v>633.79999999999995</v>
      </c>
      <c r="AH467" s="54">
        <v>4227</v>
      </c>
      <c r="AI467" s="59">
        <f>AH467/AG467</f>
        <v>6.6692963079835916</v>
      </c>
      <c r="AJ467" s="61">
        <f>AI467/AI$488</f>
        <v>1.4172543189117719</v>
      </c>
    </row>
    <row r="468" spans="1:36" ht="15" customHeight="1" x14ac:dyDescent="0.2">
      <c r="A468" s="28" t="s">
        <v>321</v>
      </c>
      <c r="B468" s="28"/>
      <c r="C468" s="27" t="s">
        <v>116</v>
      </c>
      <c r="D468" s="27">
        <v>32</v>
      </c>
      <c r="E468" s="27"/>
      <c r="F468" s="27"/>
      <c r="G468" s="27" t="s">
        <v>50</v>
      </c>
      <c r="H468" s="27">
        <v>7</v>
      </c>
      <c r="I468" s="27" t="s">
        <v>111</v>
      </c>
      <c r="J468" s="27">
        <v>5</v>
      </c>
      <c r="K468" s="27">
        <v>2</v>
      </c>
      <c r="L468" s="27">
        <v>89</v>
      </c>
      <c r="M468" s="29">
        <v>91</v>
      </c>
      <c r="N468" s="30">
        <v>91</v>
      </c>
      <c r="O468" s="30">
        <v>27</v>
      </c>
      <c r="P468" s="30">
        <v>12</v>
      </c>
      <c r="Q468" s="30">
        <v>432</v>
      </c>
      <c r="R468" s="30">
        <v>471</v>
      </c>
      <c r="S468" s="31">
        <f>R468/N468</f>
        <v>5.1758241758241761</v>
      </c>
      <c r="T468" s="32">
        <f>O468/R468</f>
        <v>5.7324840764331211E-2</v>
      </c>
      <c r="U468" s="32">
        <f>P468/R468</f>
        <v>2.5477707006369428E-2</v>
      </c>
      <c r="V468" s="32">
        <f>Q468/R468</f>
        <v>0.91719745222929938</v>
      </c>
      <c r="W468" s="31">
        <f>P468/O468</f>
        <v>0.44444444444444442</v>
      </c>
      <c r="X468" s="31">
        <f>Q468/(O468+P468)</f>
        <v>11.076923076923077</v>
      </c>
      <c r="Y468" s="65">
        <f>R468/R$488</f>
        <v>1.3682354410743699E-3</v>
      </c>
      <c r="Z468" s="33">
        <v>515</v>
      </c>
      <c r="AA468" s="33">
        <v>585</v>
      </c>
      <c r="AB468" s="29">
        <v>643</v>
      </c>
      <c r="AC468" s="34">
        <f>Z468/R468</f>
        <v>1.0934182590233545</v>
      </c>
      <c r="AD468" s="34">
        <f>AA468/Z468</f>
        <v>1.1359223300970873</v>
      </c>
      <c r="AE468" s="34">
        <f>AB468/AA468</f>
        <v>1.0991452991452992</v>
      </c>
      <c r="AF468" s="35">
        <f>AB468/R468</f>
        <v>1.365180467091295</v>
      </c>
      <c r="AG468" s="29">
        <f>0.6*Z468+0.4*AA468</f>
        <v>543</v>
      </c>
      <c r="AH468" s="54">
        <v>4200</v>
      </c>
      <c r="AI468" s="59">
        <f>AH468/AG468</f>
        <v>7.7348066298342539</v>
      </c>
      <c r="AJ468" s="61">
        <f>AI468/AI$488</f>
        <v>1.6436798720365047</v>
      </c>
    </row>
    <row r="469" spans="1:36" ht="15" customHeight="1" x14ac:dyDescent="0.2">
      <c r="A469" s="27" t="s">
        <v>437</v>
      </c>
      <c r="B469" s="27"/>
      <c r="C469" s="27" t="s">
        <v>113</v>
      </c>
      <c r="D469" s="28">
        <v>16</v>
      </c>
      <c r="E469" s="27" t="s">
        <v>421</v>
      </c>
      <c r="F469" s="27"/>
      <c r="G469" s="27" t="s">
        <v>426</v>
      </c>
      <c r="H469" s="27">
        <v>13</v>
      </c>
      <c r="I469" s="27" t="s">
        <v>111</v>
      </c>
      <c r="J469" s="27">
        <v>5</v>
      </c>
      <c r="K469" s="27">
        <v>5</v>
      </c>
      <c r="L469" s="27">
        <v>11</v>
      </c>
      <c r="M469" s="29">
        <v>102</v>
      </c>
      <c r="N469" s="30">
        <v>102</v>
      </c>
      <c r="O469" s="30">
        <v>745</v>
      </c>
      <c r="P469" s="30">
        <v>5</v>
      </c>
      <c r="Q469" s="30">
        <v>293</v>
      </c>
      <c r="R469" s="30">
        <v>1043</v>
      </c>
      <c r="S469" s="31">
        <f>R469/N469</f>
        <v>10.225490196078431</v>
      </c>
      <c r="T469" s="32">
        <f>O469/R469</f>
        <v>0.7142857142857143</v>
      </c>
      <c r="U469" s="32">
        <f>P469/R469</f>
        <v>4.7938638542665392E-3</v>
      </c>
      <c r="V469" s="32">
        <f>Q469/R469</f>
        <v>0.2809204218600192</v>
      </c>
      <c r="W469" s="31">
        <f>P469/O469</f>
        <v>6.7114093959731542E-3</v>
      </c>
      <c r="X469" s="31">
        <f>Q469/(O469+P469)</f>
        <v>0.39066666666666666</v>
      </c>
      <c r="Y469" s="65">
        <f>R469/R$488</f>
        <v>3.0298716879842203E-3</v>
      </c>
      <c r="Z469" s="29">
        <v>1151</v>
      </c>
      <c r="AA469" s="33">
        <v>934</v>
      </c>
      <c r="AB469" s="29">
        <v>959</v>
      </c>
      <c r="AC469" s="34">
        <f>Z469/R469</f>
        <v>1.1035474592521572</v>
      </c>
      <c r="AD469" s="34">
        <f>AA469/Z469</f>
        <v>0.81146828844483054</v>
      </c>
      <c r="AE469" s="34">
        <f>AB469/AA469</f>
        <v>1.0267665952890792</v>
      </c>
      <c r="AF469" s="35">
        <f>AB469/R469</f>
        <v>0.91946308724832215</v>
      </c>
      <c r="AG469" s="29">
        <f>0.6*Z469+0.4*AA469</f>
        <v>1064.2</v>
      </c>
      <c r="AH469" s="54">
        <v>5243</v>
      </c>
      <c r="AI469" s="59">
        <f>AH469/AG469</f>
        <v>4.9267055064837431</v>
      </c>
      <c r="AJ469" s="61">
        <f>AI469/AI$488</f>
        <v>1.0469462345993088</v>
      </c>
    </row>
    <row r="470" spans="1:36" ht="15" customHeight="1" x14ac:dyDescent="0.2">
      <c r="A470" s="28" t="s">
        <v>167</v>
      </c>
      <c r="B470" s="28">
        <v>4</v>
      </c>
      <c r="C470" s="28" t="s">
        <v>107</v>
      </c>
      <c r="D470" s="28">
        <v>7</v>
      </c>
      <c r="E470" s="27"/>
      <c r="F470" s="27"/>
      <c r="G470" s="27" t="s">
        <v>336</v>
      </c>
      <c r="H470" s="27">
        <v>10</v>
      </c>
      <c r="I470" s="27" t="s">
        <v>618</v>
      </c>
      <c r="J470" s="27">
        <v>6</v>
      </c>
      <c r="K470" s="27">
        <v>7</v>
      </c>
      <c r="L470" s="27">
        <v>35</v>
      </c>
      <c r="M470" s="29">
        <v>45</v>
      </c>
      <c r="N470" s="30">
        <v>45</v>
      </c>
      <c r="O470" s="30">
        <v>55</v>
      </c>
      <c r="P470" s="30">
        <v>23</v>
      </c>
      <c r="Q470" s="30">
        <v>167</v>
      </c>
      <c r="R470" s="30">
        <v>245</v>
      </c>
      <c r="S470" s="31">
        <f>R470/N470</f>
        <v>5.4444444444444446</v>
      </c>
      <c r="T470" s="32">
        <f>O470/R470</f>
        <v>0.22448979591836735</v>
      </c>
      <c r="U470" s="32">
        <f>P470/R470</f>
        <v>9.3877551020408165E-2</v>
      </c>
      <c r="V470" s="32">
        <f>Q470/R470</f>
        <v>0.68163265306122445</v>
      </c>
      <c r="W470" s="31">
        <f>P470/O470</f>
        <v>0.41818181818181815</v>
      </c>
      <c r="X470" s="31">
        <f>Q470/(O470+P470)</f>
        <v>2.141025641025641</v>
      </c>
      <c r="Y470" s="65">
        <f>R470/R$488</f>
        <v>7.1171482603656186E-4</v>
      </c>
      <c r="Z470" s="33">
        <v>230</v>
      </c>
      <c r="AA470" s="33">
        <v>274</v>
      </c>
      <c r="AB470" s="29">
        <v>278</v>
      </c>
      <c r="AC470" s="34">
        <f>Z470/R470</f>
        <v>0.93877551020408168</v>
      </c>
      <c r="AD470" s="34">
        <f>AA470/Z470</f>
        <v>1.191304347826087</v>
      </c>
      <c r="AE470" s="34">
        <f>AB470/AA470</f>
        <v>1.0145985401459854</v>
      </c>
      <c r="AF470" s="35">
        <f>AB470/R470</f>
        <v>1.1346938775510205</v>
      </c>
      <c r="AG470" s="29">
        <f>0.6*Z470+0.4*AA470</f>
        <v>247.60000000000002</v>
      </c>
      <c r="AH470" s="54">
        <v>2643</v>
      </c>
      <c r="AI470" s="59">
        <f>AH470/AG470</f>
        <v>10.674474959612278</v>
      </c>
      <c r="AJ470" s="61">
        <f>AI470/AI$488</f>
        <v>2.268372110040501</v>
      </c>
    </row>
    <row r="471" spans="1:36" ht="15" customHeight="1" x14ac:dyDescent="0.2">
      <c r="A471" s="27" t="s">
        <v>591</v>
      </c>
      <c r="B471" s="27"/>
      <c r="C471" s="27" t="s">
        <v>328</v>
      </c>
      <c r="D471" s="27">
        <v>13</v>
      </c>
      <c r="E471" s="27"/>
      <c r="F471" s="27"/>
      <c r="G471" s="27" t="s">
        <v>333</v>
      </c>
      <c r="H471" s="27">
        <v>22</v>
      </c>
      <c r="I471" s="27" t="s">
        <v>621</v>
      </c>
      <c r="J471" s="27">
        <v>7</v>
      </c>
      <c r="K471" s="27">
        <v>2</v>
      </c>
      <c r="L471" s="27">
        <v>88</v>
      </c>
      <c r="M471" s="29">
        <v>50</v>
      </c>
      <c r="N471" s="30">
        <v>54</v>
      </c>
      <c r="O471" s="30">
        <v>250</v>
      </c>
      <c r="P471" s="30">
        <v>5</v>
      </c>
      <c r="Q471" s="30">
        <v>0</v>
      </c>
      <c r="R471" s="30">
        <v>255</v>
      </c>
      <c r="S471" s="31">
        <f>R471/N471</f>
        <v>4.7222222222222223</v>
      </c>
      <c r="T471" s="32">
        <f>O471/R471</f>
        <v>0.98039215686274506</v>
      </c>
      <c r="U471" s="32">
        <f>P471/R471</f>
        <v>1.9607843137254902E-2</v>
      </c>
      <c r="V471" s="32">
        <f>Q471/R471</f>
        <v>0</v>
      </c>
      <c r="W471" s="31">
        <f>P471/O471</f>
        <v>0.02</v>
      </c>
      <c r="X471" s="31">
        <f>Q471/(O471+P471)</f>
        <v>0</v>
      </c>
      <c r="Y471" s="65">
        <f>R471/R$488</f>
        <v>7.4076441077274805E-4</v>
      </c>
      <c r="Z471" s="33">
        <v>221</v>
      </c>
      <c r="AA471" s="33">
        <v>289</v>
      </c>
      <c r="AB471" s="29">
        <v>321</v>
      </c>
      <c r="AC471" s="34">
        <f>Z471/R471</f>
        <v>0.8666666666666667</v>
      </c>
      <c r="AD471" s="34">
        <f>AA471/Z471</f>
        <v>1.3076923076923077</v>
      </c>
      <c r="AE471" s="34">
        <f>AB471/AA471</f>
        <v>1.1107266435986158</v>
      </c>
      <c r="AF471" s="35">
        <f>AB471/R471</f>
        <v>1.2588235294117647</v>
      </c>
      <c r="AG471" s="29">
        <f>0.6*Z471+0.4*AA471</f>
        <v>248.2</v>
      </c>
      <c r="AH471" s="54">
        <v>1423</v>
      </c>
      <c r="AI471" s="59">
        <f>AH471/AG471</f>
        <v>5.7332796132151493</v>
      </c>
      <c r="AJ471" s="61">
        <f>AI471/AI$488</f>
        <v>1.2183467217720108</v>
      </c>
    </row>
    <row r="472" spans="1:36" ht="15" customHeight="1" x14ac:dyDescent="0.2">
      <c r="A472" s="27" t="s">
        <v>25</v>
      </c>
      <c r="B472" s="27"/>
      <c r="C472" s="27" t="s">
        <v>118</v>
      </c>
      <c r="D472" s="28">
        <v>19</v>
      </c>
      <c r="E472" s="27" t="s">
        <v>421</v>
      </c>
      <c r="F472" s="27"/>
      <c r="G472" s="27" t="s">
        <v>427</v>
      </c>
      <c r="H472" s="27">
        <v>23</v>
      </c>
      <c r="I472" s="27" t="s">
        <v>619</v>
      </c>
      <c r="J472" s="27">
        <v>9</v>
      </c>
      <c r="K472" s="27">
        <v>2</v>
      </c>
      <c r="L472" s="27">
        <v>84</v>
      </c>
      <c r="M472" s="29">
        <v>211</v>
      </c>
      <c r="N472" s="30">
        <v>246</v>
      </c>
      <c r="O472" s="30">
        <v>456</v>
      </c>
      <c r="P472" s="30">
        <v>256</v>
      </c>
      <c r="Q472" s="30">
        <v>502</v>
      </c>
      <c r="R472" s="30">
        <v>1214</v>
      </c>
      <c r="S472" s="31">
        <f>R472/N472</f>
        <v>4.9349593495934956</v>
      </c>
      <c r="T472" s="32">
        <f>O472/R472</f>
        <v>0.37561779242174631</v>
      </c>
      <c r="U472" s="32">
        <f>P472/R472</f>
        <v>0.21087314662273476</v>
      </c>
      <c r="V472" s="32">
        <f>Q472/R472</f>
        <v>0.41350906095551893</v>
      </c>
      <c r="W472" s="31">
        <f>P472/O472</f>
        <v>0.56140350877192979</v>
      </c>
      <c r="X472" s="31">
        <f>Q472/(O472+P472)</f>
        <v>0.7050561797752809</v>
      </c>
      <c r="Y472" s="65">
        <f>R472/R$488</f>
        <v>3.5266195869730044E-3</v>
      </c>
      <c r="Z472" s="29">
        <v>1168</v>
      </c>
      <c r="AA472" s="29">
        <v>1436</v>
      </c>
      <c r="AB472" s="29">
        <v>1596</v>
      </c>
      <c r="AC472" s="34">
        <f>Z472/R472</f>
        <v>0.96210873146622733</v>
      </c>
      <c r="AD472" s="34">
        <f>AA472/Z472</f>
        <v>1.2294520547945205</v>
      </c>
      <c r="AE472" s="34">
        <f>AB472/AA472</f>
        <v>1.1114206128133706</v>
      </c>
      <c r="AF472" s="35">
        <f>AB472/R472</f>
        <v>1.314662273476112</v>
      </c>
      <c r="AG472" s="29">
        <f>0.6*Z472+0.4*AA472</f>
        <v>1275.1999999999998</v>
      </c>
      <c r="AH472" s="54">
        <v>4327</v>
      </c>
      <c r="AI472" s="59">
        <f>AH472/AG472</f>
        <v>3.3931932245922214</v>
      </c>
      <c r="AJ472" s="61">
        <f>AI472/AI$488</f>
        <v>0.72106824024279348</v>
      </c>
    </row>
    <row r="473" spans="1:36" ht="15" customHeight="1" x14ac:dyDescent="0.2">
      <c r="A473" s="28" t="s">
        <v>119</v>
      </c>
      <c r="B473" s="28"/>
      <c r="C473" s="28" t="s">
        <v>119</v>
      </c>
      <c r="D473" s="28">
        <v>31</v>
      </c>
      <c r="E473" s="27" t="s">
        <v>421</v>
      </c>
      <c r="F473" s="27"/>
      <c r="G473" s="27" t="s">
        <v>332</v>
      </c>
      <c r="H473" s="27">
        <v>18</v>
      </c>
      <c r="I473" s="27" t="s">
        <v>620</v>
      </c>
      <c r="J473" s="27">
        <v>10</v>
      </c>
      <c r="K473" s="27">
        <v>3</v>
      </c>
      <c r="L473" s="27">
        <v>57</v>
      </c>
      <c r="M473" s="29">
        <v>176</v>
      </c>
      <c r="N473" s="30">
        <v>176</v>
      </c>
      <c r="O473" s="30">
        <v>265</v>
      </c>
      <c r="P473" s="30">
        <v>69</v>
      </c>
      <c r="Q473" s="30">
        <v>541</v>
      </c>
      <c r="R473" s="30">
        <v>875</v>
      </c>
      <c r="S473" s="31">
        <f>R473/N473</f>
        <v>4.9715909090909092</v>
      </c>
      <c r="T473" s="32">
        <f>O473/R473</f>
        <v>0.30285714285714288</v>
      </c>
      <c r="U473" s="32">
        <f>P473/R473</f>
        <v>7.8857142857142862E-2</v>
      </c>
      <c r="V473" s="32">
        <f>Q473/R473</f>
        <v>0.61828571428571433</v>
      </c>
      <c r="W473" s="31">
        <f>P473/O473</f>
        <v>0.26037735849056604</v>
      </c>
      <c r="X473" s="31">
        <f>Q473/(O473+P473)</f>
        <v>1.6197604790419162</v>
      </c>
      <c r="Y473" s="65">
        <f>R473/R$488</f>
        <v>2.5418386644162922E-3</v>
      </c>
      <c r="Z473" s="33">
        <v>913</v>
      </c>
      <c r="AA473" s="29">
        <v>1121</v>
      </c>
      <c r="AB473" s="29">
        <v>1263</v>
      </c>
      <c r="AC473" s="34">
        <f>Z473/R473</f>
        <v>1.0434285714285714</v>
      </c>
      <c r="AD473" s="34">
        <f>AA473/Z473</f>
        <v>1.2278203723986856</v>
      </c>
      <c r="AE473" s="34">
        <f>AB473/AA473</f>
        <v>1.1266726137377341</v>
      </c>
      <c r="AF473" s="35">
        <f>AB473/R473</f>
        <v>1.4434285714285715</v>
      </c>
      <c r="AG473" s="29">
        <f>0.6*Z473+0.4*AA473</f>
        <v>996.2</v>
      </c>
      <c r="AH473" s="54">
        <v>5271</v>
      </c>
      <c r="AI473" s="59">
        <f>AH473/AG473</f>
        <v>5.2911062035735794</v>
      </c>
      <c r="AJ473" s="61">
        <f>AI473/AI$488</f>
        <v>1.1243829592424781</v>
      </c>
    </row>
    <row r="474" spans="1:36" ht="15" customHeight="1" x14ac:dyDescent="0.2">
      <c r="A474" s="27" t="s">
        <v>592</v>
      </c>
      <c r="B474" s="27"/>
      <c r="C474" s="28" t="s">
        <v>120</v>
      </c>
      <c r="D474" s="28">
        <v>9</v>
      </c>
      <c r="E474" s="27"/>
      <c r="F474" s="27"/>
      <c r="G474" s="27" t="s">
        <v>172</v>
      </c>
      <c r="H474" s="27">
        <v>1</v>
      </c>
      <c r="I474" s="27" t="s">
        <v>618</v>
      </c>
      <c r="J474" s="27">
        <v>6</v>
      </c>
      <c r="K474" s="27">
        <v>6</v>
      </c>
      <c r="L474" s="27">
        <v>75</v>
      </c>
      <c r="M474" s="29">
        <v>151</v>
      </c>
      <c r="N474" s="30">
        <v>152</v>
      </c>
      <c r="O474" s="30">
        <v>448</v>
      </c>
      <c r="P474" s="30">
        <v>123</v>
      </c>
      <c r="Q474" s="30">
        <v>121</v>
      </c>
      <c r="R474" s="30">
        <v>692</v>
      </c>
      <c r="S474" s="31">
        <f>R474/N474</f>
        <v>4.5526315789473681</v>
      </c>
      <c r="T474" s="32">
        <f>O474/R474</f>
        <v>0.64739884393063585</v>
      </c>
      <c r="U474" s="32">
        <f>P474/R474</f>
        <v>0.1777456647398844</v>
      </c>
      <c r="V474" s="32">
        <f>Q474/R474</f>
        <v>0.17485549132947978</v>
      </c>
      <c r="W474" s="31">
        <f>P474/O474</f>
        <v>0.27455357142857145</v>
      </c>
      <c r="X474" s="31">
        <f>Q474/(O474+P474)</f>
        <v>0.21190893169877409</v>
      </c>
      <c r="Y474" s="65">
        <f>R474/R$488</f>
        <v>2.0102312637440846E-3</v>
      </c>
      <c r="Z474" s="33">
        <v>859</v>
      </c>
      <c r="AA474" s="29">
        <v>1054</v>
      </c>
      <c r="AB474" s="29">
        <v>1063</v>
      </c>
      <c r="AC474" s="34">
        <f>Z474/R474</f>
        <v>1.2413294797687862</v>
      </c>
      <c r="AD474" s="34">
        <f>AA474/Z474</f>
        <v>1.2270081490104774</v>
      </c>
      <c r="AE474" s="34">
        <f>AB474/AA474</f>
        <v>1.00853889943074</v>
      </c>
      <c r="AF474" s="35">
        <f>AB474/R474</f>
        <v>1.5361271676300579</v>
      </c>
      <c r="AG474" s="29">
        <f>0.6*Z474+0.4*AA474</f>
        <v>937</v>
      </c>
      <c r="AH474" s="54">
        <v>5763</v>
      </c>
      <c r="AI474" s="59">
        <f>AH474/AG474</f>
        <v>6.1504802561366061</v>
      </c>
      <c r="AJ474" s="61">
        <f>AI474/AI$488</f>
        <v>1.3070036633335067</v>
      </c>
    </row>
    <row r="475" spans="1:36" ht="15" customHeight="1" x14ac:dyDescent="0.2">
      <c r="A475" s="27" t="s">
        <v>586</v>
      </c>
      <c r="B475" s="27"/>
      <c r="C475" s="28" t="s">
        <v>113</v>
      </c>
      <c r="D475" s="28">
        <v>16</v>
      </c>
      <c r="E475" s="27" t="s">
        <v>420</v>
      </c>
      <c r="F475" s="27"/>
      <c r="G475" s="27" t="s">
        <v>73</v>
      </c>
      <c r="H475" s="27">
        <v>11</v>
      </c>
      <c r="I475" s="27" t="s">
        <v>111</v>
      </c>
      <c r="J475" s="27">
        <v>5</v>
      </c>
      <c r="K475" s="27">
        <v>4</v>
      </c>
      <c r="L475" s="27">
        <v>68</v>
      </c>
      <c r="M475" s="29">
        <v>165</v>
      </c>
      <c r="N475" s="30">
        <v>344</v>
      </c>
      <c r="O475" s="30">
        <v>67</v>
      </c>
      <c r="P475" s="30">
        <v>240</v>
      </c>
      <c r="Q475" s="30">
        <v>1316</v>
      </c>
      <c r="R475" s="30">
        <v>1623</v>
      </c>
      <c r="S475" s="31">
        <f>R475/N475</f>
        <v>4.7180232558139537</v>
      </c>
      <c r="T475" s="32">
        <f>O475/R475</f>
        <v>4.1281577325939615E-2</v>
      </c>
      <c r="U475" s="32">
        <f>P475/R475</f>
        <v>0.1478743068391867</v>
      </c>
      <c r="V475" s="32">
        <f>Q475/R475</f>
        <v>0.8108441158348737</v>
      </c>
      <c r="W475" s="31">
        <f>P475/O475</f>
        <v>3.5820895522388061</v>
      </c>
      <c r="X475" s="31">
        <f>Q475/(O475+P475)</f>
        <v>4.2866449511400653</v>
      </c>
      <c r="Y475" s="65">
        <f>R475/R$488</f>
        <v>4.7147476026830198E-3</v>
      </c>
      <c r="Z475" s="29">
        <v>1627</v>
      </c>
      <c r="AA475" s="29">
        <v>1859</v>
      </c>
      <c r="AB475" s="29">
        <v>2194</v>
      </c>
      <c r="AC475" s="34">
        <f>Z475/R475</f>
        <v>1.0024645717806531</v>
      </c>
      <c r="AD475" s="34">
        <f>AA475/Z475</f>
        <v>1.1425937307928704</v>
      </c>
      <c r="AE475" s="34">
        <f>AB475/AA475</f>
        <v>1.1802044109736418</v>
      </c>
      <c r="AF475" s="35">
        <f>AB475/R475</f>
        <v>1.3518176216882316</v>
      </c>
      <c r="AG475" s="29">
        <f>0.6*Z475+0.4*AA475</f>
        <v>1719.8</v>
      </c>
      <c r="AH475" s="54">
        <v>2903</v>
      </c>
      <c r="AI475" s="59">
        <f>AH475/AG475</f>
        <v>1.6879869752296779</v>
      </c>
      <c r="AJ475" s="61">
        <f>AI475/AI$488</f>
        <v>0.3587045349967925</v>
      </c>
    </row>
    <row r="476" spans="1:36" ht="15" customHeight="1" x14ac:dyDescent="0.2">
      <c r="A476" s="28" t="s">
        <v>184</v>
      </c>
      <c r="B476" s="28"/>
      <c r="C476" s="28" t="s">
        <v>120</v>
      </c>
      <c r="D476" s="28">
        <v>9</v>
      </c>
      <c r="E476" s="27"/>
      <c r="F476" s="27" t="s">
        <v>481</v>
      </c>
      <c r="G476" s="27" t="s">
        <v>172</v>
      </c>
      <c r="H476" s="27">
        <v>1</v>
      </c>
      <c r="I476" s="27" t="s">
        <v>618</v>
      </c>
      <c r="J476" s="27">
        <v>6</v>
      </c>
      <c r="K476" s="27">
        <v>6</v>
      </c>
      <c r="L476" s="27">
        <v>76</v>
      </c>
      <c r="M476" s="29">
        <v>263</v>
      </c>
      <c r="N476" s="30">
        <v>297</v>
      </c>
      <c r="O476" s="30">
        <v>976</v>
      </c>
      <c r="P476" s="30">
        <v>256</v>
      </c>
      <c r="Q476" s="30">
        <v>54</v>
      </c>
      <c r="R476" s="30">
        <v>1286</v>
      </c>
      <c r="S476" s="31">
        <f>R476/N476</f>
        <v>4.3299663299663296</v>
      </c>
      <c r="T476" s="32">
        <f>O476/R476</f>
        <v>0.75894245723172626</v>
      </c>
      <c r="U476" s="32">
        <f>P476/R476</f>
        <v>0.19906687402799378</v>
      </c>
      <c r="V476" s="32">
        <f>Q476/R476</f>
        <v>4.1990668740279936E-2</v>
      </c>
      <c r="W476" s="31">
        <f>P476/O476</f>
        <v>0.26229508196721313</v>
      </c>
      <c r="X476" s="31">
        <f>Q476/(O476+P476)</f>
        <v>4.3831168831168832E-2</v>
      </c>
      <c r="Y476" s="65">
        <f>R476/R$488</f>
        <v>3.7357765970735448E-3</v>
      </c>
      <c r="Z476" s="29">
        <v>1361</v>
      </c>
      <c r="AA476" s="29">
        <v>1494</v>
      </c>
      <c r="AB476" s="29">
        <v>1673</v>
      </c>
      <c r="AC476" s="34">
        <f>Z476/R476</f>
        <v>1.0583203732503887</v>
      </c>
      <c r="AD476" s="34">
        <f>AA476/Z476</f>
        <v>1.097722263041881</v>
      </c>
      <c r="AE476" s="34">
        <f>AB476/AA476</f>
        <v>1.1198125836680053</v>
      </c>
      <c r="AF476" s="35">
        <f>AB476/R476</f>
        <v>1.3009331259720063</v>
      </c>
      <c r="AG476" s="29">
        <f>0.6*Z476+0.4*AA476</f>
        <v>1414.2</v>
      </c>
      <c r="AH476" s="54">
        <v>10335</v>
      </c>
      <c r="AI476" s="59">
        <f>AH476/AG476</f>
        <v>7.3080186677980485</v>
      </c>
      <c r="AJ476" s="61">
        <f>AI476/AI$488</f>
        <v>1.5529855836853785</v>
      </c>
    </row>
    <row r="477" spans="1:36" ht="15" customHeight="1" x14ac:dyDescent="0.2">
      <c r="A477" s="28" t="s">
        <v>583</v>
      </c>
      <c r="B477" s="28"/>
      <c r="C477" s="28" t="s">
        <v>113</v>
      </c>
      <c r="D477" s="28">
        <v>16</v>
      </c>
      <c r="E477" s="27"/>
      <c r="F477" s="27"/>
      <c r="G477" s="27" t="s">
        <v>73</v>
      </c>
      <c r="H477" s="27">
        <v>11</v>
      </c>
      <c r="I477" s="27" t="s">
        <v>111</v>
      </c>
      <c r="J477" s="27">
        <v>5</v>
      </c>
      <c r="K477" s="27">
        <v>4</v>
      </c>
      <c r="L477" s="27">
        <v>114</v>
      </c>
      <c r="M477" s="29">
        <v>24</v>
      </c>
      <c r="N477" s="30">
        <v>26</v>
      </c>
      <c r="O477" s="30">
        <v>122</v>
      </c>
      <c r="P477" s="30">
        <v>69</v>
      </c>
      <c r="Q477" s="30">
        <v>21</v>
      </c>
      <c r="R477" s="30">
        <v>212</v>
      </c>
      <c r="S477" s="31">
        <f>R477/N477</f>
        <v>8.1538461538461533</v>
      </c>
      <c r="T477" s="32">
        <f>O477/R477</f>
        <v>0.57547169811320753</v>
      </c>
      <c r="U477" s="32">
        <f>P477/R477</f>
        <v>0.32547169811320753</v>
      </c>
      <c r="V477" s="32">
        <f>Q477/R477</f>
        <v>9.9056603773584911E-2</v>
      </c>
      <c r="W477" s="31">
        <f>P477/O477</f>
        <v>0.56557377049180324</v>
      </c>
      <c r="X477" s="31">
        <f>Q477/(O477+P477)</f>
        <v>0.1099476439790576</v>
      </c>
      <c r="Y477" s="65">
        <f>R477/R$488</f>
        <v>6.1585119640714732E-4</v>
      </c>
      <c r="Z477" s="33">
        <v>241</v>
      </c>
      <c r="AA477" s="33">
        <v>233</v>
      </c>
      <c r="AB477" s="29">
        <v>237</v>
      </c>
      <c r="AC477" s="34">
        <f>Z477/R477</f>
        <v>1.1367924528301887</v>
      </c>
      <c r="AD477" s="34">
        <f>AA477/Z477</f>
        <v>0.96680497925311204</v>
      </c>
      <c r="AE477" s="34">
        <f>AB477/AA477</f>
        <v>1.0171673819742488</v>
      </c>
      <c r="AF477" s="35">
        <f>AB477/R477</f>
        <v>1.1179245283018868</v>
      </c>
      <c r="AG477" s="29">
        <f>0.6*Z477+0.4*AA477</f>
        <v>237.8</v>
      </c>
      <c r="AH477" s="54">
        <v>1772</v>
      </c>
      <c r="AI477" s="59">
        <f>AH477/AG477</f>
        <v>7.4516400336417155</v>
      </c>
      <c r="AJ477" s="61">
        <f>AI477/AI$488</f>
        <v>1.5835057452781816</v>
      </c>
    </row>
    <row r="478" spans="1:36" ht="15" customHeight="1" x14ac:dyDescent="0.2">
      <c r="A478" s="28" t="s">
        <v>287</v>
      </c>
      <c r="B478" s="28"/>
      <c r="C478" s="28" t="s">
        <v>110</v>
      </c>
      <c r="D478" s="27">
        <v>26</v>
      </c>
      <c r="E478" s="27"/>
      <c r="F478" s="27"/>
      <c r="G478" s="27" t="s">
        <v>287</v>
      </c>
      <c r="H478" s="27">
        <v>25</v>
      </c>
      <c r="I478" s="27" t="s">
        <v>624</v>
      </c>
      <c r="J478" s="27">
        <v>4</v>
      </c>
      <c r="K478" s="27">
        <v>4</v>
      </c>
      <c r="L478" s="27">
        <v>113</v>
      </c>
      <c r="M478" s="29">
        <v>39</v>
      </c>
      <c r="N478" s="30">
        <v>41</v>
      </c>
      <c r="O478" s="30">
        <v>116</v>
      </c>
      <c r="P478" s="30">
        <v>47</v>
      </c>
      <c r="Q478" s="30">
        <v>77</v>
      </c>
      <c r="R478" s="30">
        <v>240</v>
      </c>
      <c r="S478" s="31">
        <f>R478/N478</f>
        <v>5.8536585365853657</v>
      </c>
      <c r="T478" s="32">
        <f>O478/R478</f>
        <v>0.48333333333333334</v>
      </c>
      <c r="U478" s="32">
        <f>P478/R478</f>
        <v>0.19583333333333333</v>
      </c>
      <c r="V478" s="32">
        <f>Q478/R478</f>
        <v>0.32083333333333336</v>
      </c>
      <c r="W478" s="31">
        <f>P478/O478</f>
        <v>0.40517241379310343</v>
      </c>
      <c r="X478" s="31">
        <f>Q478/(O478+P478)</f>
        <v>0.47239263803680981</v>
      </c>
      <c r="Y478" s="65">
        <f>R478/R$488</f>
        <v>6.9719003366846871E-4</v>
      </c>
      <c r="Z478" s="33">
        <v>259</v>
      </c>
      <c r="AA478" s="33">
        <v>298</v>
      </c>
      <c r="AB478" s="29">
        <v>279</v>
      </c>
      <c r="AC478" s="34">
        <f>Z478/R478</f>
        <v>1.0791666666666666</v>
      </c>
      <c r="AD478" s="34">
        <f>AA478/Z478</f>
        <v>1.1505791505791505</v>
      </c>
      <c r="AE478" s="34">
        <f>AB478/AA478</f>
        <v>0.93624161073825507</v>
      </c>
      <c r="AF478" s="35">
        <f>AB478/R478</f>
        <v>1.1625000000000001</v>
      </c>
      <c r="AG478" s="29">
        <f>0.6*Z478+0.4*AA478</f>
        <v>274.60000000000002</v>
      </c>
      <c r="AH478" s="54">
        <v>2294</v>
      </c>
      <c r="AI478" s="59">
        <f>AH478/AG478</f>
        <v>8.3539694100509827</v>
      </c>
      <c r="AJ478" s="61">
        <f>AI478/AI$488</f>
        <v>1.775254641524725</v>
      </c>
    </row>
    <row r="479" spans="1:36" ht="15" customHeight="1" x14ac:dyDescent="0.2">
      <c r="A479" s="28" t="s">
        <v>506</v>
      </c>
      <c r="B479" s="28"/>
      <c r="C479" s="28" t="s">
        <v>119</v>
      </c>
      <c r="D479" s="28">
        <v>31</v>
      </c>
      <c r="E479" s="27"/>
      <c r="F479" s="27"/>
      <c r="G479" s="27" t="s">
        <v>332</v>
      </c>
      <c r="H479" s="27">
        <v>18</v>
      </c>
      <c r="I479" s="27" t="s">
        <v>621</v>
      </c>
      <c r="J479" s="27">
        <v>7</v>
      </c>
      <c r="K479" s="27">
        <v>2</v>
      </c>
      <c r="L479" s="27">
        <v>86</v>
      </c>
      <c r="M479" s="29">
        <v>29</v>
      </c>
      <c r="N479" s="30">
        <v>34</v>
      </c>
      <c r="O479" s="30">
        <v>52</v>
      </c>
      <c r="P479" s="30">
        <v>6</v>
      </c>
      <c r="Q479" s="30">
        <v>73</v>
      </c>
      <c r="R479" s="30">
        <v>131</v>
      </c>
      <c r="S479" s="31">
        <f>R479/N479</f>
        <v>3.8529411764705883</v>
      </c>
      <c r="T479" s="32">
        <f>O479/R479</f>
        <v>0.39694656488549618</v>
      </c>
      <c r="U479" s="32">
        <f>P479/R479</f>
        <v>4.5801526717557252E-2</v>
      </c>
      <c r="V479" s="32">
        <f>Q479/R479</f>
        <v>0.5572519083969466</v>
      </c>
      <c r="W479" s="31">
        <f>P479/O479</f>
        <v>0.11538461538461539</v>
      </c>
      <c r="X479" s="31">
        <f>Q479/(O479+P479)</f>
        <v>1.2586206896551724</v>
      </c>
      <c r="Y479" s="65">
        <f>R479/R$488</f>
        <v>3.8054956004403918E-4</v>
      </c>
      <c r="Z479" s="33">
        <v>181</v>
      </c>
      <c r="AA479" s="33">
        <v>213</v>
      </c>
      <c r="AB479" s="29">
        <v>226</v>
      </c>
      <c r="AC479" s="34">
        <f>Z479/R479</f>
        <v>1.3816793893129771</v>
      </c>
      <c r="AD479" s="34">
        <f>AA479/Z479</f>
        <v>1.1767955801104972</v>
      </c>
      <c r="AE479" s="34">
        <f>AB479/AA479</f>
        <v>1.0610328638497653</v>
      </c>
      <c r="AF479" s="35">
        <f>AB479/R479</f>
        <v>1.7251908396946565</v>
      </c>
      <c r="AG479" s="29">
        <f>0.6*Z479+0.4*AA479</f>
        <v>193.8</v>
      </c>
      <c r="AH479" s="54">
        <v>1460</v>
      </c>
      <c r="AI479" s="59">
        <f>AH479/AG479</f>
        <v>7.5335397316821462</v>
      </c>
      <c r="AJ479" s="61">
        <f>AI479/AI$488</f>
        <v>1.6009097854355252</v>
      </c>
    </row>
    <row r="480" spans="1:36" ht="15" customHeight="1" x14ac:dyDescent="0.2">
      <c r="A480" s="27" t="s">
        <v>505</v>
      </c>
      <c r="B480" s="27"/>
      <c r="C480" s="27" t="s">
        <v>30</v>
      </c>
      <c r="D480" s="28">
        <v>14</v>
      </c>
      <c r="E480" s="27"/>
      <c r="F480" s="27"/>
      <c r="G480" s="27" t="s">
        <v>30</v>
      </c>
      <c r="H480" s="27">
        <v>8</v>
      </c>
      <c r="I480" s="27" t="s">
        <v>619</v>
      </c>
      <c r="J480" s="27">
        <v>9</v>
      </c>
      <c r="K480" s="27">
        <v>2</v>
      </c>
      <c r="L480" s="27">
        <v>83</v>
      </c>
      <c r="M480" s="29">
        <v>98</v>
      </c>
      <c r="N480" s="30">
        <v>99</v>
      </c>
      <c r="O480" s="30">
        <v>364</v>
      </c>
      <c r="P480" s="30">
        <v>23</v>
      </c>
      <c r="Q480" s="30">
        <v>204</v>
      </c>
      <c r="R480" s="30">
        <v>591</v>
      </c>
      <c r="S480" s="31">
        <f>R480/N480</f>
        <v>5.9696969696969697</v>
      </c>
      <c r="T480" s="32">
        <f>O480/R480</f>
        <v>0.61590524534686975</v>
      </c>
      <c r="U480" s="32">
        <f>P480/R480</f>
        <v>3.8917089678510999E-2</v>
      </c>
      <c r="V480" s="32">
        <f>Q480/R480</f>
        <v>0.34517766497461927</v>
      </c>
      <c r="W480" s="31">
        <f>P480/O480</f>
        <v>6.3186813186813184E-2</v>
      </c>
      <c r="X480" s="31">
        <f>Q480/(O480+P480)</f>
        <v>0.52713178294573648</v>
      </c>
      <c r="Y480" s="65">
        <f>R480/R$488</f>
        <v>1.7168304579086042E-3</v>
      </c>
      <c r="Z480" s="33">
        <v>782</v>
      </c>
      <c r="AA480" s="33">
        <v>754</v>
      </c>
      <c r="AB480" s="29">
        <v>840</v>
      </c>
      <c r="AC480" s="34">
        <f>Z480/R480</f>
        <v>1.3231810490693738</v>
      </c>
      <c r="AD480" s="34">
        <f>AA480/Z480</f>
        <v>0.96419437340153458</v>
      </c>
      <c r="AE480" s="34">
        <f>AB480/AA480</f>
        <v>1.1140583554376657</v>
      </c>
      <c r="AF480" s="35">
        <f>AB480/R480</f>
        <v>1.4213197969543148</v>
      </c>
      <c r="AG480" s="29">
        <f>0.6*Z480+0.4*AA480</f>
        <v>770.8</v>
      </c>
      <c r="AH480" s="54">
        <v>2939</v>
      </c>
      <c r="AI480" s="59">
        <f>AH480/AG480</f>
        <v>3.8129216398546966</v>
      </c>
      <c r="AJ480" s="61">
        <f>AI480/AI$488</f>
        <v>0.81026234436269096</v>
      </c>
    </row>
    <row r="481" spans="1:36" ht="15" customHeight="1" x14ac:dyDescent="0.2">
      <c r="A481" s="27" t="s">
        <v>485</v>
      </c>
      <c r="B481" s="27">
        <v>5</v>
      </c>
      <c r="C481" s="27" t="s">
        <v>323</v>
      </c>
      <c r="D481" s="27">
        <v>1</v>
      </c>
      <c r="E481" s="27"/>
      <c r="F481" s="27"/>
      <c r="G481" s="27" t="s">
        <v>219</v>
      </c>
      <c r="H481" s="27">
        <v>6</v>
      </c>
      <c r="I481" s="27" t="s">
        <v>618</v>
      </c>
      <c r="J481" s="27">
        <v>6</v>
      </c>
      <c r="K481" s="27">
        <v>7</v>
      </c>
      <c r="L481" s="27">
        <v>36</v>
      </c>
      <c r="M481" s="29">
        <v>110</v>
      </c>
      <c r="N481" s="30">
        <v>132</v>
      </c>
      <c r="O481" s="30">
        <v>712</v>
      </c>
      <c r="P481" s="30">
        <v>18</v>
      </c>
      <c r="Q481" s="30">
        <v>10</v>
      </c>
      <c r="R481" s="30">
        <v>740</v>
      </c>
      <c r="S481" s="31">
        <f>R481/N481</f>
        <v>5.6060606060606064</v>
      </c>
      <c r="T481" s="32">
        <f>O481/R481</f>
        <v>0.96216216216216222</v>
      </c>
      <c r="U481" s="32">
        <f>P481/R481</f>
        <v>2.4324324324324326E-2</v>
      </c>
      <c r="V481" s="32">
        <f>Q481/R481</f>
        <v>1.3513513513513514E-2</v>
      </c>
      <c r="W481" s="31">
        <f>P481/O481</f>
        <v>2.5280898876404494E-2</v>
      </c>
      <c r="X481" s="31">
        <f>Q481/(O481+P481)</f>
        <v>1.3698630136986301E-2</v>
      </c>
      <c r="Y481" s="65">
        <f>R481/R$488</f>
        <v>2.1496692704777785E-3</v>
      </c>
      <c r="Z481" s="33">
        <v>708</v>
      </c>
      <c r="AA481" s="33">
        <v>793</v>
      </c>
      <c r="AB481" s="29">
        <v>804</v>
      </c>
      <c r="AC481" s="34">
        <f>Z481/R481</f>
        <v>0.95675675675675675</v>
      </c>
      <c r="AD481" s="34">
        <f>AA481/Z481</f>
        <v>1.1200564971751412</v>
      </c>
      <c r="AE481" s="34">
        <f>AB481/AA481</f>
        <v>1.0138713745271122</v>
      </c>
      <c r="AF481" s="35">
        <f>AB481/R481</f>
        <v>1.0864864864864865</v>
      </c>
      <c r="AG481" s="29">
        <f>0.6*Z481+0.4*AA481</f>
        <v>742</v>
      </c>
      <c r="AH481" s="54">
        <v>4638</v>
      </c>
      <c r="AI481" s="59">
        <f>AH481/AG481</f>
        <v>6.2506738544474389</v>
      </c>
      <c r="AJ481" s="61">
        <f>AI481/AI$488</f>
        <v>1.3282952364434548</v>
      </c>
    </row>
    <row r="482" spans="1:36" ht="15" customHeight="1" x14ac:dyDescent="0.2">
      <c r="A482" s="28" t="s">
        <v>489</v>
      </c>
      <c r="B482" s="28"/>
      <c r="C482" s="28" t="s">
        <v>30</v>
      </c>
      <c r="D482" s="28">
        <v>14</v>
      </c>
      <c r="E482" s="27"/>
      <c r="F482" s="27"/>
      <c r="G482" s="27" t="s">
        <v>350</v>
      </c>
      <c r="H482" s="27">
        <v>2</v>
      </c>
      <c r="I482" s="27" t="s">
        <v>619</v>
      </c>
      <c r="J482" s="27">
        <v>9</v>
      </c>
      <c r="K482" s="27">
        <v>1</v>
      </c>
      <c r="L482" s="27">
        <v>64</v>
      </c>
      <c r="M482" s="37">
        <v>70</v>
      </c>
      <c r="N482" s="40">
        <v>70</v>
      </c>
      <c r="O482" s="40">
        <v>158</v>
      </c>
      <c r="P482" s="40">
        <v>43</v>
      </c>
      <c r="Q482" s="40">
        <v>157</v>
      </c>
      <c r="R482" s="30">
        <v>358</v>
      </c>
      <c r="S482" s="31">
        <f>R482/N482</f>
        <v>5.1142857142857139</v>
      </c>
      <c r="T482" s="32">
        <f>O482/R482</f>
        <v>0.44134078212290501</v>
      </c>
      <c r="U482" s="32">
        <f>P482/R482</f>
        <v>0.12011173184357542</v>
      </c>
      <c r="V482" s="32">
        <f>Q482/R482</f>
        <v>0.43854748603351956</v>
      </c>
      <c r="W482" s="31">
        <f>P482/O482</f>
        <v>0.27215189873417722</v>
      </c>
      <c r="X482" s="31">
        <f>Q482/(O482+P482)</f>
        <v>0.78109452736318408</v>
      </c>
      <c r="Y482" s="65">
        <f>R482/R$488</f>
        <v>1.0399751335554658E-3</v>
      </c>
      <c r="Z482" s="33">
        <v>394</v>
      </c>
      <c r="AA482" s="33">
        <v>463</v>
      </c>
      <c r="AB482" s="29">
        <v>498</v>
      </c>
      <c r="AC482" s="34">
        <f>Z482/R482</f>
        <v>1.1005586592178771</v>
      </c>
      <c r="AD482" s="34">
        <f>AA482/Z482</f>
        <v>1.1751269035532994</v>
      </c>
      <c r="AE482" s="34">
        <f>AB482/AA482</f>
        <v>1.0755939524838012</v>
      </c>
      <c r="AF482" s="35">
        <f>AB482/R482</f>
        <v>1.3910614525139664</v>
      </c>
      <c r="AG482" s="29">
        <f>0.6*Z482+0.4*AA482</f>
        <v>421.6</v>
      </c>
      <c r="AH482" s="54">
        <v>1668</v>
      </c>
      <c r="AI482" s="59">
        <f>AH482/AG482</f>
        <v>3.956356736242884</v>
      </c>
      <c r="AJ482" s="61">
        <f>AI482/AI$488</f>
        <v>0.84074292289034469</v>
      </c>
    </row>
    <row r="483" spans="1:36" ht="15" customHeight="1" x14ac:dyDescent="0.2">
      <c r="A483" s="27" t="s">
        <v>391</v>
      </c>
      <c r="B483" s="27"/>
      <c r="C483" s="27" t="s">
        <v>330</v>
      </c>
      <c r="D483" s="27">
        <v>21</v>
      </c>
      <c r="E483" s="27"/>
      <c r="F483" s="27"/>
      <c r="G483" s="27" t="s">
        <v>330</v>
      </c>
      <c r="H483" s="27">
        <v>15</v>
      </c>
      <c r="I483" s="27" t="s">
        <v>624</v>
      </c>
      <c r="J483" s="27">
        <v>4</v>
      </c>
      <c r="K483" s="27">
        <v>4</v>
      </c>
      <c r="L483" s="27">
        <v>116</v>
      </c>
      <c r="M483" s="29">
        <v>182</v>
      </c>
      <c r="N483" s="30">
        <v>183</v>
      </c>
      <c r="O483" s="30">
        <v>175</v>
      </c>
      <c r="P483" s="30">
        <v>130</v>
      </c>
      <c r="Q483" s="30">
        <v>688</v>
      </c>
      <c r="R483" s="30">
        <v>993</v>
      </c>
      <c r="S483" s="31">
        <f>R483/N483</f>
        <v>5.4262295081967213</v>
      </c>
      <c r="T483" s="32">
        <f>O483/R483</f>
        <v>0.17623363544813697</v>
      </c>
      <c r="U483" s="32">
        <f>P483/R483</f>
        <v>0.13091641490433031</v>
      </c>
      <c r="V483" s="32">
        <f>Q483/R483</f>
        <v>0.69284994964753277</v>
      </c>
      <c r="W483" s="31">
        <f>P483/O483</f>
        <v>0.74285714285714288</v>
      </c>
      <c r="X483" s="31">
        <f>Q483/(O483+P483)</f>
        <v>2.2557377049180327</v>
      </c>
      <c r="Y483" s="65">
        <f>R483/R$488</f>
        <v>2.8846237643032893E-3</v>
      </c>
      <c r="Z483" s="29">
        <v>1051</v>
      </c>
      <c r="AA483" s="29">
        <v>1235</v>
      </c>
      <c r="AB483" s="29">
        <v>1262</v>
      </c>
      <c r="AC483" s="34">
        <f>Z483/R483</f>
        <v>1.0584088620342398</v>
      </c>
      <c r="AD483" s="34">
        <f>AA483/Z483</f>
        <v>1.1750713606089438</v>
      </c>
      <c r="AE483" s="34">
        <f>AB483/AA483</f>
        <v>1.0218623481781377</v>
      </c>
      <c r="AF483" s="35">
        <f>AB483/R483</f>
        <v>1.2708962739174219</v>
      </c>
      <c r="AG483" s="29">
        <f>0.6*Z483+0.4*AA483</f>
        <v>1124.5999999999999</v>
      </c>
      <c r="AH483" s="54">
        <v>7565</v>
      </c>
      <c r="AI483" s="59">
        <f>AH483/AG483</f>
        <v>6.7268362084296642</v>
      </c>
      <c r="AJ483" s="61">
        <f>AI483/AI$488</f>
        <v>1.4294817966921984</v>
      </c>
    </row>
    <row r="484" spans="1:36" ht="15" customHeight="1" x14ac:dyDescent="0.2">
      <c r="A484" s="28" t="s">
        <v>51</v>
      </c>
      <c r="B484" s="28"/>
      <c r="C484" s="27" t="s">
        <v>118</v>
      </c>
      <c r="D484" s="28">
        <v>19</v>
      </c>
      <c r="E484" s="27"/>
      <c r="F484" s="27"/>
      <c r="G484" s="27" t="s">
        <v>69</v>
      </c>
      <c r="H484" s="27">
        <v>5</v>
      </c>
      <c r="I484" s="27" t="s">
        <v>621</v>
      </c>
      <c r="J484" s="27">
        <v>7</v>
      </c>
      <c r="K484" s="27">
        <v>2</v>
      </c>
      <c r="L484" s="27">
        <v>90</v>
      </c>
      <c r="M484" s="29">
        <v>117</v>
      </c>
      <c r="N484" s="30">
        <v>117</v>
      </c>
      <c r="O484" s="30">
        <v>593</v>
      </c>
      <c r="P484" s="30">
        <v>29</v>
      </c>
      <c r="Q484" s="30">
        <v>0</v>
      </c>
      <c r="R484" s="30">
        <v>622</v>
      </c>
      <c r="S484" s="31">
        <f>R484/N484</f>
        <v>5.316239316239316</v>
      </c>
      <c r="T484" s="32">
        <f>O484/R484</f>
        <v>0.95337620578778137</v>
      </c>
      <c r="U484" s="32">
        <f>P484/R484</f>
        <v>4.6623794212218649E-2</v>
      </c>
      <c r="V484" s="32">
        <f>Q484/R484</f>
        <v>0</v>
      </c>
      <c r="W484" s="31">
        <f>P484/O484</f>
        <v>4.8903878583473864E-2</v>
      </c>
      <c r="X484" s="31">
        <f>Q484/(O484+P484)</f>
        <v>0</v>
      </c>
      <c r="Y484" s="65">
        <f>R484/R$488</f>
        <v>1.8068841705907814E-3</v>
      </c>
      <c r="Z484" s="33">
        <v>624</v>
      </c>
      <c r="AA484" s="33">
        <v>681</v>
      </c>
      <c r="AB484" s="29">
        <v>747</v>
      </c>
      <c r="AC484" s="34">
        <f>Z484/R484</f>
        <v>1.0032154340836013</v>
      </c>
      <c r="AD484" s="34">
        <f>AA484/Z484</f>
        <v>1.0913461538461537</v>
      </c>
      <c r="AE484" s="34">
        <f>AB484/AA484</f>
        <v>1.0969162995594715</v>
      </c>
      <c r="AF484" s="35">
        <f>AB484/R484</f>
        <v>1.2009646302250805</v>
      </c>
      <c r="AG484" s="29">
        <f>0.6*Z484+0.4*AA484</f>
        <v>646.79999999999995</v>
      </c>
      <c r="AH484" s="54">
        <v>2344</v>
      </c>
      <c r="AI484" s="59">
        <f>AH484/AG484</f>
        <v>3.6239950525664812</v>
      </c>
      <c r="AJ484" s="61">
        <f>AI484/AI$488</f>
        <v>0.77011462720833956</v>
      </c>
    </row>
    <row r="485" spans="1:36" ht="15" customHeight="1" x14ac:dyDescent="0.2">
      <c r="AA485" s="42"/>
      <c r="AB485" s="53"/>
      <c r="AC485" s="43"/>
      <c r="AD485" s="43"/>
      <c r="AE485" s="43"/>
      <c r="AF485" s="44"/>
      <c r="AG485" s="53"/>
      <c r="AH485" s="42"/>
      <c r="AI485" s="60"/>
      <c r="AJ485" s="60"/>
    </row>
    <row r="486" spans="1:36" ht="15" customHeight="1" x14ac:dyDescent="0.2">
      <c r="L486" s="68" t="s">
        <v>602</v>
      </c>
      <c r="M486" s="30">
        <f>M488-M487</f>
        <v>57962</v>
      </c>
      <c r="N486" s="30">
        <f t="shared" ref="N486:R486" si="0">N488-N487</f>
        <v>72689</v>
      </c>
      <c r="O486" s="30">
        <f t="shared" si="0"/>
        <v>96417</v>
      </c>
      <c r="P486" s="30">
        <f t="shared" si="0"/>
        <v>62111</v>
      </c>
      <c r="Q486" s="30">
        <f t="shared" si="0"/>
        <v>182519</v>
      </c>
      <c r="R486" s="30">
        <f t="shared" si="0"/>
        <v>341047</v>
      </c>
      <c r="S486" s="31">
        <f>R486/N486</f>
        <v>4.6918653441373523</v>
      </c>
      <c r="T486" s="32">
        <f>O486/R486</f>
        <v>0.28270883485267428</v>
      </c>
      <c r="U486" s="32">
        <f>P486/R486</f>
        <v>0.18211859362492561</v>
      </c>
      <c r="V486" s="32">
        <f>Q486/R486</f>
        <v>0.53517257152240016</v>
      </c>
      <c r="W486" s="31">
        <f>P486/O486</f>
        <v>0.64419137703931884</v>
      </c>
      <c r="X486" s="31">
        <f>Q486/(O486+P486)</f>
        <v>1.1513360415825595</v>
      </c>
      <c r="Y486" s="65">
        <f>R486/R$486</f>
        <v>1</v>
      </c>
      <c r="Z486" s="30">
        <f t="shared" ref="Z486:AB486" si="1">Z488-Z487</f>
        <v>378778</v>
      </c>
      <c r="AA486" s="30">
        <f t="shared" si="1"/>
        <v>439057</v>
      </c>
      <c r="AB486" s="30">
        <f t="shared" si="1"/>
        <v>494211</v>
      </c>
      <c r="AC486" s="34">
        <f>Z486/R486</f>
        <v>1.1106328453263039</v>
      </c>
      <c r="AD486" s="34">
        <f>AA486/Z486</f>
        <v>1.1591407103897269</v>
      </c>
      <c r="AE486" s="34">
        <f>AB486/AA486</f>
        <v>1.1256192248386885</v>
      </c>
      <c r="AF486" s="35">
        <f>AB486/R486</f>
        <v>1.4490993909930303</v>
      </c>
      <c r="AG486" s="30">
        <f t="shared" ref="AG486" si="2">AG488-AG487</f>
        <v>402889.6</v>
      </c>
      <c r="AH486" s="54">
        <f t="shared" ref="AH486" si="3">AH488-AH487</f>
        <v>1894694</v>
      </c>
      <c r="AI486" s="59">
        <f>AH486/AG486</f>
        <v>4.7027622455382323</v>
      </c>
      <c r="AJ486" s="61">
        <f>AI486/AI$486</f>
        <v>1</v>
      </c>
    </row>
    <row r="487" spans="1:36" ht="15" customHeight="1" x14ac:dyDescent="0.2">
      <c r="L487" s="67" t="s">
        <v>599</v>
      </c>
      <c r="M487" s="27"/>
      <c r="N487" s="27"/>
      <c r="O487" s="27"/>
      <c r="P487" s="27"/>
      <c r="Q487" s="27"/>
      <c r="R487" s="30">
        <f t="shared" ref="R487" si="4">SUMIF($D4:$D484,99,R4:R484)</f>
        <v>3192</v>
      </c>
      <c r="S487" s="27"/>
      <c r="T487" s="27"/>
      <c r="U487" s="27"/>
      <c r="V487" s="27"/>
      <c r="W487" s="27"/>
      <c r="X487" s="27"/>
      <c r="Y487" s="27"/>
      <c r="Z487" s="30">
        <f t="shared" ref="Z487:AB487" si="5">SUMIF($D4:$D484,99,Z4:Z484)</f>
        <v>3430</v>
      </c>
      <c r="AA487" s="30">
        <f t="shared" si="5"/>
        <v>3781</v>
      </c>
      <c r="AB487" s="30">
        <f t="shared" si="5"/>
        <v>3883</v>
      </c>
      <c r="AC487" s="34">
        <f t="shared" ref="AC487" si="6">Z487/R487</f>
        <v>1.0745614035087718</v>
      </c>
      <c r="AD487" s="34">
        <f t="shared" ref="AD487" si="7">AA487/Z487</f>
        <v>1.102332361516035</v>
      </c>
      <c r="AE487" s="34">
        <f t="shared" ref="AE487" si="8">AB487/AA487</f>
        <v>1.0269769902142289</v>
      </c>
      <c r="AF487" s="35">
        <f t="shared" ref="AF487" si="9">AB487/R487</f>
        <v>1.2164786967418546</v>
      </c>
      <c r="AG487" s="29">
        <f t="shared" ref="AG487:AG488" si="10">0.6*Z487+0.4*AA487</f>
        <v>3570.4</v>
      </c>
      <c r="AH487" s="54">
        <f t="shared" ref="AH487" si="11">SUMIF($D4:$D484,99,AH4:AH484)</f>
        <v>18020</v>
      </c>
      <c r="AI487" s="59">
        <f t="shared" ref="AI487" si="12">AH487/AG487</f>
        <v>5.0470535514228096</v>
      </c>
      <c r="AJ487" s="61">
        <f t="shared" ref="AJ487" si="13">AI487/AI$488</f>
        <v>1.0725207148122069</v>
      </c>
    </row>
    <row r="488" spans="1:36" ht="15" customHeight="1" x14ac:dyDescent="0.2">
      <c r="L488" s="67" t="s">
        <v>600</v>
      </c>
      <c r="M488" s="30">
        <f t="shared" ref="M488:R488" si="14">SUM(M4:M484)</f>
        <v>57962</v>
      </c>
      <c r="N488" s="30">
        <f t="shared" si="14"/>
        <v>72689</v>
      </c>
      <c r="O488" s="30">
        <f t="shared" si="14"/>
        <v>96417</v>
      </c>
      <c r="P488" s="30">
        <f t="shared" si="14"/>
        <v>62111</v>
      </c>
      <c r="Q488" s="30">
        <f t="shared" si="14"/>
        <v>182519</v>
      </c>
      <c r="R488" s="30">
        <f t="shared" si="14"/>
        <v>344239</v>
      </c>
      <c r="S488" s="31">
        <f>R488/N488</f>
        <v>4.7357784534111076</v>
      </c>
      <c r="T488" s="32">
        <f>O488/R488</f>
        <v>0.28008738115088644</v>
      </c>
      <c r="U488" s="32">
        <f>P488/R488</f>
        <v>0.18042987575492608</v>
      </c>
      <c r="V488" s="32">
        <f>Q488/R488</f>
        <v>0.53021011564639686</v>
      </c>
      <c r="W488" s="31">
        <f>P488/O488</f>
        <v>0.64419137703931884</v>
      </c>
      <c r="X488" s="31">
        <f>Q488/(O488+P488)</f>
        <v>1.1513360415825595</v>
      </c>
      <c r="Y488" s="65">
        <f>R488/R$488</f>
        <v>1</v>
      </c>
      <c r="Z488" s="30">
        <f>SUM(Z4:Z484)</f>
        <v>382208</v>
      </c>
      <c r="AA488" s="30">
        <f>SUM(AA4:AA484)</f>
        <v>442838</v>
      </c>
      <c r="AB488" s="30">
        <f>SUM(AB4:AB484)</f>
        <v>498094</v>
      </c>
      <c r="AC488" s="34">
        <f>Z488/R488</f>
        <v>1.1102983682848253</v>
      </c>
      <c r="AD488" s="34">
        <f>AA488/Z488</f>
        <v>1.1586309025452111</v>
      </c>
      <c r="AE488" s="34">
        <f>AB488/AA488</f>
        <v>1.124777006489958</v>
      </c>
      <c r="AF488" s="35">
        <f>AB488/R488</f>
        <v>1.4469423859585928</v>
      </c>
      <c r="AG488" s="29">
        <f t="shared" si="10"/>
        <v>406460</v>
      </c>
      <c r="AH488" s="54">
        <f>SUM(AH4:AH484)</f>
        <v>1912714</v>
      </c>
      <c r="AI488" s="59">
        <f>AH488/AG488</f>
        <v>4.7057865472617229</v>
      </c>
      <c r="AJ488" s="61">
        <f>AI488/AI$488</f>
        <v>1</v>
      </c>
    </row>
    <row r="570" spans="14:14" ht="15" customHeight="1" x14ac:dyDescent="0.2">
      <c r="N570" s="45"/>
    </row>
    <row r="571" spans="14:14" ht="15" customHeight="1" x14ac:dyDescent="0.2">
      <c r="N571" s="45"/>
    </row>
    <row r="572" spans="14:14" ht="15" customHeight="1" x14ac:dyDescent="0.2">
      <c r="N572" s="45"/>
    </row>
    <row r="573" spans="14:14" ht="15" customHeight="1" x14ac:dyDescent="0.2">
      <c r="N573" s="45"/>
    </row>
    <row r="574" spans="14:14" ht="15" customHeight="1" x14ac:dyDescent="0.2">
      <c r="N574" s="45"/>
    </row>
    <row r="575" spans="14:14" ht="15" customHeight="1" x14ac:dyDescent="0.2">
      <c r="N575" s="45"/>
    </row>
  </sheetData>
  <sheetProtection sort="0" autoFilter="0"/>
  <autoFilter ref="A3:AJ484">
    <sortState ref="A4:AJ484">
      <sortCondition ref="A3:A484"/>
    </sortState>
  </autoFilter>
  <mergeCells count="6">
    <mergeCell ref="AG1:AJ1"/>
    <mergeCell ref="B1:L1"/>
    <mergeCell ref="M1:R1"/>
    <mergeCell ref="S1:Y1"/>
    <mergeCell ref="Z1:AB1"/>
    <mergeCell ref="AC1:AF1"/>
  </mergeCells>
  <phoneticPr fontId="1" type="noConversion"/>
  <pageMargins left="0.75" right="0.75" top="1" bottom="1" header="0.5" footer="0.5"/>
  <pageSetup paperSize="9" orientation="portrait" horizontalDpi="4294967293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zoomScaleNormal="100" workbookViewId="0">
      <selection activeCell="A19" sqref="A19"/>
    </sheetView>
  </sheetViews>
  <sheetFormatPr defaultRowHeight="12.75" x14ac:dyDescent="0.2"/>
  <cols>
    <col min="1" max="1" width="49.28515625" bestFit="1" customWidth="1"/>
    <col min="2" max="2" width="9.140625" customWidth="1"/>
    <col min="23" max="23" width="11.140625" customWidth="1"/>
  </cols>
  <sheetData>
    <row r="1" spans="1:25" x14ac:dyDescent="0.2">
      <c r="A1" s="19" t="s">
        <v>548</v>
      </c>
      <c r="B1" s="19" t="s">
        <v>521</v>
      </c>
      <c r="C1" s="3" t="s">
        <v>443</v>
      </c>
      <c r="D1" s="3" t="s">
        <v>444</v>
      </c>
      <c r="E1" s="3" t="s">
        <v>445</v>
      </c>
      <c r="F1" s="3" t="s">
        <v>446</v>
      </c>
      <c r="G1" s="11" t="s">
        <v>603</v>
      </c>
      <c r="H1" s="3" t="s">
        <v>450</v>
      </c>
      <c r="I1" s="3" t="s">
        <v>451</v>
      </c>
      <c r="J1" s="3" t="s">
        <v>452</v>
      </c>
      <c r="K1" s="3" t="s">
        <v>453</v>
      </c>
      <c r="L1" s="3" t="s">
        <v>454</v>
      </c>
      <c r="M1" s="3" t="s">
        <v>455</v>
      </c>
      <c r="N1" s="19" t="s">
        <v>604</v>
      </c>
      <c r="O1" s="19" t="s">
        <v>605</v>
      </c>
      <c r="P1" s="19" t="s">
        <v>606</v>
      </c>
      <c r="Q1" s="19" t="s">
        <v>607</v>
      </c>
      <c r="R1" s="19" t="s">
        <v>608</v>
      </c>
      <c r="S1" s="19" t="s">
        <v>609</v>
      </c>
      <c r="T1" s="19" t="s">
        <v>610</v>
      </c>
      <c r="U1" s="19" t="s">
        <v>611</v>
      </c>
      <c r="V1" s="19" t="s">
        <v>612</v>
      </c>
      <c r="W1" s="19" t="s">
        <v>613</v>
      </c>
      <c r="X1" s="19" t="s">
        <v>614</v>
      </c>
      <c r="Y1" s="19" t="s">
        <v>615</v>
      </c>
    </row>
    <row r="2" spans="1:25" x14ac:dyDescent="0.2">
      <c r="A2" s="4" t="s">
        <v>616</v>
      </c>
      <c r="B2" s="8">
        <f>'Full 1801-31 data set'!M486</f>
        <v>57962</v>
      </c>
      <c r="C2" s="8">
        <f>'Full 1801-31 data set'!N486</f>
        <v>72689</v>
      </c>
      <c r="D2" s="8">
        <f>'Full 1801-31 data set'!O486</f>
        <v>96417</v>
      </c>
      <c r="E2" s="8">
        <f>'Full 1801-31 data set'!P486</f>
        <v>62111</v>
      </c>
      <c r="F2" s="8">
        <f>'Full 1801-31 data set'!Q486</f>
        <v>182519</v>
      </c>
      <c r="G2" s="8">
        <f>'Full 1801-31 data set'!R486</f>
        <v>341047</v>
      </c>
      <c r="H2" s="9">
        <f t="shared" ref="H2:H11" si="0">G2/C2</f>
        <v>4.6918653441373523</v>
      </c>
      <c r="I2" s="10">
        <f t="shared" ref="I2:I11" si="1">D2/G2</f>
        <v>0.28270883485267428</v>
      </c>
      <c r="J2" s="10">
        <f t="shared" ref="J2:J11" si="2">E2/G2</f>
        <v>0.18211859362492561</v>
      </c>
      <c r="K2" s="10">
        <f t="shared" ref="K2:K11" si="3">F2/G2</f>
        <v>0.53517257152240016</v>
      </c>
      <c r="L2" s="9">
        <f t="shared" ref="L2:L11" si="4">E2/D2</f>
        <v>0.64419137703931884</v>
      </c>
      <c r="M2" s="9">
        <f t="shared" ref="M2:M11" si="5">F2/(D2+E2)</f>
        <v>1.1513360415825595</v>
      </c>
      <c r="N2" s="65">
        <f>G2/G$2</f>
        <v>1</v>
      </c>
      <c r="O2" s="8">
        <f>'Full 1801-31 data set'!Z486</f>
        <v>378778</v>
      </c>
      <c r="P2" s="8">
        <f>'Full 1801-31 data set'!AA486</f>
        <v>439057</v>
      </c>
      <c r="Q2" s="8">
        <f>'Full 1801-31 data set'!AB486</f>
        <v>494211</v>
      </c>
      <c r="R2" s="17">
        <f t="shared" ref="R2" si="6">O2/G2</f>
        <v>1.1106328453263039</v>
      </c>
      <c r="S2" s="17">
        <f t="shared" ref="S2:T2" si="7">P2/O2</f>
        <v>1.1591407103897269</v>
      </c>
      <c r="T2" s="17">
        <f t="shared" si="7"/>
        <v>1.1256192248386885</v>
      </c>
      <c r="U2" s="17">
        <f t="shared" ref="U2" si="8">Q2/G2</f>
        <v>1.4490993909930303</v>
      </c>
      <c r="V2" s="18">
        <f t="shared" ref="V2" si="9">0.6*O2+0.4*P2</f>
        <v>402889.6</v>
      </c>
      <c r="W2" s="8">
        <f>'Full 1801-31 data set'!AH486</f>
        <v>1894694</v>
      </c>
      <c r="X2" s="70">
        <f t="shared" ref="X2" si="10">W2/V2</f>
        <v>4.7027622455382323</v>
      </c>
      <c r="Y2" s="71">
        <f>X2/X$2</f>
        <v>1</v>
      </c>
    </row>
    <row r="3" spans="1:25" x14ac:dyDescent="0.2">
      <c r="A3" s="4" t="s">
        <v>482</v>
      </c>
      <c r="B3" s="8">
        <f>SUMIF('Full 1801-31 data set'!$F$4:$F$484,"Exeter",'Full 1801-31 data set'!M$4:M$484)</f>
        <v>3305</v>
      </c>
      <c r="C3" s="8">
        <f>SUMIF('Full 1801-31 data set'!$F$4:$F$484,"Exeter",'Full 1801-31 data set'!N$4:N$484)</f>
        <v>4658</v>
      </c>
      <c r="D3" s="8">
        <f>SUMIF('Full 1801-31 data set'!$F$4:$F$484,"Exeter",'Full 1801-31 data set'!O$4:O$484)</f>
        <v>801</v>
      </c>
      <c r="E3" s="8">
        <f>SUMIF('Full 1801-31 data set'!$F$4:$F$484,"Exeter",'Full 1801-31 data set'!P$4:P$484)</f>
        <v>6738</v>
      </c>
      <c r="F3" s="8">
        <f>SUMIF('Full 1801-31 data set'!$F$4:$F$484,"Exeter",'Full 1801-31 data set'!Q$4:Q$484)</f>
        <v>13014</v>
      </c>
      <c r="G3" s="8">
        <f>SUMIF('Full 1801-31 data set'!$F$4:$F$484,"Exeter",'Full 1801-31 data set'!R$4:R$484)</f>
        <v>20553</v>
      </c>
      <c r="H3" s="9">
        <f t="shared" si="0"/>
        <v>4.4124087591240873</v>
      </c>
      <c r="I3" s="10">
        <f t="shared" si="1"/>
        <v>3.8972412786454531E-2</v>
      </c>
      <c r="J3" s="10">
        <f t="shared" si="2"/>
        <v>0.32783535250328422</v>
      </c>
      <c r="K3" s="10">
        <f t="shared" si="3"/>
        <v>0.63319223471026131</v>
      </c>
      <c r="L3" s="9">
        <f t="shared" si="4"/>
        <v>8.4119850187265914</v>
      </c>
      <c r="M3" s="9">
        <f t="shared" si="5"/>
        <v>1.7262236370871469</v>
      </c>
      <c r="N3" s="65">
        <f t="shared" ref="N3:N11" si="11">G3/G$2</f>
        <v>6.0264421032878164E-2</v>
      </c>
      <c r="O3" s="8">
        <f>SUMIF('Full 1801-31 data set'!$F$4:$F$484,"Exeter",'Full 1801-31 data set'!Z$4:Z$484)</f>
        <v>22558</v>
      </c>
      <c r="P3" s="8">
        <f>SUMIF('Full 1801-31 data set'!$F$4:$F$484,"Exeter",'Full 1801-31 data set'!AA$4:AA$484)</f>
        <v>28183</v>
      </c>
      <c r="Q3" s="8">
        <f>SUMIF('Full 1801-31 data set'!$F$4:$F$484,"Exeter",'Full 1801-31 data set'!AB$4:AB$484)</f>
        <v>34803</v>
      </c>
      <c r="R3" s="17">
        <f t="shared" ref="R3:R11" si="12">O3/G3</f>
        <v>1.097552668710164</v>
      </c>
      <c r="S3" s="17">
        <f t="shared" ref="S3:S11" si="13">P3/O3</f>
        <v>1.2493572125188404</v>
      </c>
      <c r="T3" s="17">
        <f t="shared" ref="T3:T11" si="14">Q3/P3</f>
        <v>1.2348933754390945</v>
      </c>
      <c r="U3" s="17">
        <f t="shared" ref="U3:U11" si="15">Q3/G3</f>
        <v>1.6933294409575244</v>
      </c>
      <c r="V3" s="18">
        <f t="shared" ref="V3:V11" si="16">0.6*O3+0.4*P3</f>
        <v>24808</v>
      </c>
      <c r="W3" s="8">
        <f>SUMIF('Full 1801-31 data set'!$F$4:$F$484,"Exeter",'Full 1801-31 data set'!AH$4:AH$484)</f>
        <v>78908</v>
      </c>
      <c r="X3" s="70">
        <f t="shared" ref="X3:X11" si="17">W3/V3</f>
        <v>3.1807481457594324</v>
      </c>
      <c r="Y3" s="71">
        <f t="shared" ref="Y3:Y11" si="18">X3/X$2</f>
        <v>0.67635742138084531</v>
      </c>
    </row>
    <row r="4" spans="1:25" x14ac:dyDescent="0.2">
      <c r="A4" s="4" t="s">
        <v>483</v>
      </c>
      <c r="B4" s="8">
        <f>SUMIF('Full 1801-31 data set'!$F$4:$F$484,"Plymouth/SD",'Full 1801-31 data set'!M$4:M$484)</f>
        <v>4462</v>
      </c>
      <c r="C4" s="8">
        <f>SUMIF('Full 1801-31 data set'!$F$4:$F$484,"Plymouth/SD",'Full 1801-31 data set'!N$4:N$484)</f>
        <v>10724</v>
      </c>
      <c r="D4" s="8">
        <f>SUMIF('Full 1801-31 data set'!$F$4:$F$484,"Plymouth/SD",'Full 1801-31 data set'!O$4:O$484)</f>
        <v>908</v>
      </c>
      <c r="E4" s="8">
        <f>SUMIF('Full 1801-31 data set'!$F$4:$F$484,"Plymouth/SD",'Full 1801-31 data set'!P$4:P$484)</f>
        <v>7316</v>
      </c>
      <c r="F4" s="8">
        <f>SUMIF('Full 1801-31 data set'!$F$4:$F$484,"Plymouth/SD",'Full 1801-31 data set'!Q$4:Q$484)</f>
        <v>35062</v>
      </c>
      <c r="G4" s="8">
        <f>SUMIF('Full 1801-31 data set'!$F$4:$F$484,"Plymouth/SD",'Full 1801-31 data set'!R$4:R$484)</f>
        <v>43286</v>
      </c>
      <c r="H4" s="9">
        <f t="shared" si="0"/>
        <v>4.0363670272286463</v>
      </c>
      <c r="I4" s="10">
        <f t="shared" si="1"/>
        <v>2.0976759229312018E-2</v>
      </c>
      <c r="J4" s="10">
        <f t="shared" si="2"/>
        <v>0.16901538603705585</v>
      </c>
      <c r="K4" s="10">
        <f t="shared" si="3"/>
        <v>0.81000785473363213</v>
      </c>
      <c r="L4" s="9">
        <f t="shared" si="4"/>
        <v>8.0572687224669597</v>
      </c>
      <c r="M4" s="9">
        <f t="shared" si="5"/>
        <v>4.2633754863813227</v>
      </c>
      <c r="N4" s="65">
        <f t="shared" si="11"/>
        <v>0.12692092292264703</v>
      </c>
      <c r="O4" s="8">
        <f>SUMIF('Full 1801-31 data set'!$F$4:$F$484,"Plymouth/SD",'Full 1801-31 data set'!Z$4:Z$484)</f>
        <v>56174</v>
      </c>
      <c r="P4" s="8">
        <f>SUMIF('Full 1801-31 data set'!$F$4:$F$484,"Plymouth/SD",'Full 1801-31 data set'!AA$4:AA$484)</f>
        <v>61387</v>
      </c>
      <c r="Q4" s="8">
        <f>SUMIF('Full 1801-31 data set'!$F$4:$F$484,"Plymouth/SD",'Full 1801-31 data set'!AB$4:AB$484)</f>
        <v>75763</v>
      </c>
      <c r="R4" s="17">
        <f t="shared" si="12"/>
        <v>1.297740608972878</v>
      </c>
      <c r="S4" s="17">
        <f t="shared" si="13"/>
        <v>1.0928009399366254</v>
      </c>
      <c r="T4" s="17">
        <f t="shared" si="14"/>
        <v>1.2341863912554776</v>
      </c>
      <c r="U4" s="17">
        <f t="shared" si="15"/>
        <v>1.7502887769717692</v>
      </c>
      <c r="V4" s="18">
        <f t="shared" si="16"/>
        <v>58259.200000000004</v>
      </c>
      <c r="W4" s="8">
        <f>SUMIF('Full 1801-31 data set'!$F$4:$F$484,"Plymouth/SD",'Full 1801-31 data set'!AH$4:AH$484)</f>
        <v>196052</v>
      </c>
      <c r="X4" s="70">
        <f t="shared" si="17"/>
        <v>3.3651680764583101</v>
      </c>
      <c r="Y4" s="71">
        <f t="shared" si="18"/>
        <v>0.71557265725075281</v>
      </c>
    </row>
    <row r="5" spans="1:25" x14ac:dyDescent="0.2">
      <c r="A5" s="4" t="s">
        <v>542</v>
      </c>
      <c r="B5" s="8">
        <f t="shared" ref="B5:G5" si="19">B2-B3-B4</f>
        <v>50195</v>
      </c>
      <c r="C5" s="8">
        <f t="shared" si="19"/>
        <v>57307</v>
      </c>
      <c r="D5" s="8">
        <f t="shared" si="19"/>
        <v>94708</v>
      </c>
      <c r="E5" s="8">
        <f t="shared" si="19"/>
        <v>48057</v>
      </c>
      <c r="F5" s="8">
        <f t="shared" si="19"/>
        <v>134443</v>
      </c>
      <c r="G5" s="8">
        <f t="shared" si="19"/>
        <v>277208</v>
      </c>
      <c r="H5" s="9">
        <f t="shared" si="0"/>
        <v>4.8372450136981522</v>
      </c>
      <c r="I5" s="10">
        <f t="shared" si="1"/>
        <v>0.34164959164237685</v>
      </c>
      <c r="J5" s="10">
        <f t="shared" si="2"/>
        <v>0.17336079766817697</v>
      </c>
      <c r="K5" s="10">
        <f t="shared" si="3"/>
        <v>0.48498961068944618</v>
      </c>
      <c r="L5" s="9">
        <f t="shared" si="4"/>
        <v>0.5074228153904633</v>
      </c>
      <c r="M5" s="9">
        <f t="shared" si="5"/>
        <v>0.94170840191923788</v>
      </c>
      <c r="N5" s="65">
        <f t="shared" si="11"/>
        <v>0.81281465604447478</v>
      </c>
      <c r="O5" s="8">
        <f t="shared" ref="O5:Q5" si="20">O2-O3-O4</f>
        <v>300046</v>
      </c>
      <c r="P5" s="8">
        <f t="shared" si="20"/>
        <v>349487</v>
      </c>
      <c r="Q5" s="8">
        <f t="shared" si="20"/>
        <v>383645</v>
      </c>
      <c r="R5" s="17">
        <f t="shared" si="12"/>
        <v>1.082385789731898</v>
      </c>
      <c r="S5" s="17">
        <f t="shared" si="13"/>
        <v>1.1647780673630044</v>
      </c>
      <c r="T5" s="17">
        <f t="shared" si="14"/>
        <v>1.0977375410244159</v>
      </c>
      <c r="U5" s="17">
        <f t="shared" si="15"/>
        <v>1.3839607803526595</v>
      </c>
      <c r="V5" s="18">
        <f t="shared" si="16"/>
        <v>319822.40000000002</v>
      </c>
      <c r="W5" s="8">
        <f t="shared" ref="W5" si="21">W2-W3-W4</f>
        <v>1619734</v>
      </c>
      <c r="X5" s="70">
        <f t="shared" si="17"/>
        <v>5.0644795361425592</v>
      </c>
      <c r="Y5" s="71">
        <f t="shared" si="18"/>
        <v>1.0769159212646797</v>
      </c>
    </row>
    <row r="6" spans="1:25" x14ac:dyDescent="0.2">
      <c r="A6" s="4" t="s">
        <v>464</v>
      </c>
      <c r="B6" s="8">
        <f t="shared" ref="B6:G6" si="22">B7+B8</f>
        <v>18663</v>
      </c>
      <c r="C6" s="8">
        <f t="shared" si="22"/>
        <v>22508</v>
      </c>
      <c r="D6" s="8">
        <f t="shared" si="22"/>
        <v>21509</v>
      </c>
      <c r="E6" s="8">
        <f t="shared" si="22"/>
        <v>25665</v>
      </c>
      <c r="F6" s="8">
        <f t="shared" si="22"/>
        <v>55531</v>
      </c>
      <c r="G6" s="8">
        <f t="shared" si="22"/>
        <v>102705</v>
      </c>
      <c r="H6" s="9">
        <f t="shared" si="0"/>
        <v>4.563044250933002</v>
      </c>
      <c r="I6" s="10">
        <f t="shared" si="1"/>
        <v>0.20942505233435568</v>
      </c>
      <c r="J6" s="10">
        <f t="shared" si="2"/>
        <v>0.24989046297648604</v>
      </c>
      <c r="K6" s="10">
        <f t="shared" si="3"/>
        <v>0.54068448468915831</v>
      </c>
      <c r="L6" s="9">
        <f t="shared" si="4"/>
        <v>1.1932214421869916</v>
      </c>
      <c r="M6" s="9">
        <f t="shared" si="5"/>
        <v>1.1771526688430067</v>
      </c>
      <c r="N6" s="65">
        <f t="shared" si="11"/>
        <v>0.30114617633346724</v>
      </c>
      <c r="O6" s="8">
        <f t="shared" ref="O6:Q6" si="23">O7+O8</f>
        <v>111381</v>
      </c>
      <c r="P6" s="8">
        <f t="shared" si="23"/>
        <v>132062</v>
      </c>
      <c r="Q6" s="8">
        <f t="shared" si="23"/>
        <v>145580</v>
      </c>
      <c r="R6" s="17">
        <f t="shared" si="12"/>
        <v>1.0844749525339565</v>
      </c>
      <c r="S6" s="17">
        <f t="shared" si="13"/>
        <v>1.185677988166743</v>
      </c>
      <c r="T6" s="17">
        <f t="shared" si="14"/>
        <v>1.102361012251821</v>
      </c>
      <c r="U6" s="17">
        <f t="shared" si="15"/>
        <v>1.4174577673920452</v>
      </c>
      <c r="V6" s="18">
        <f t="shared" si="16"/>
        <v>119653.4</v>
      </c>
      <c r="W6" s="8">
        <f t="shared" ref="W6" si="24">W7+W8</f>
        <v>467082</v>
      </c>
      <c r="X6" s="70">
        <f t="shared" si="17"/>
        <v>3.9036249701220358</v>
      </c>
      <c r="Y6" s="71">
        <f t="shared" si="18"/>
        <v>0.83007066194460888</v>
      </c>
    </row>
    <row r="7" spans="1:25" x14ac:dyDescent="0.2">
      <c r="A7" s="4" t="s">
        <v>465</v>
      </c>
      <c r="B7" s="8">
        <f t="shared" ref="B7:G7" si="25">B25+B26</f>
        <v>14900</v>
      </c>
      <c r="C7" s="8">
        <f t="shared" si="25"/>
        <v>18305</v>
      </c>
      <c r="D7" s="8">
        <f t="shared" si="25"/>
        <v>14001</v>
      </c>
      <c r="E7" s="8">
        <f t="shared" si="25"/>
        <v>21641</v>
      </c>
      <c r="F7" s="8">
        <f t="shared" si="25"/>
        <v>46332</v>
      </c>
      <c r="G7" s="8">
        <f t="shared" si="25"/>
        <v>81974</v>
      </c>
      <c r="H7" s="9">
        <f t="shared" si="0"/>
        <v>4.4782299918055175</v>
      </c>
      <c r="I7" s="10">
        <f t="shared" si="1"/>
        <v>0.17079805792080416</v>
      </c>
      <c r="J7" s="10">
        <f t="shared" si="2"/>
        <v>0.2639983409373704</v>
      </c>
      <c r="K7" s="10">
        <f t="shared" si="3"/>
        <v>0.56520360114182544</v>
      </c>
      <c r="L7" s="9">
        <f t="shared" si="4"/>
        <v>1.5456753089065067</v>
      </c>
      <c r="M7" s="9">
        <f t="shared" si="5"/>
        <v>1.2999270523539643</v>
      </c>
      <c r="N7" s="65">
        <f t="shared" si="11"/>
        <v>0.2403598331021824</v>
      </c>
      <c r="O7" s="8">
        <f t="shared" ref="O7:Q7" si="26">O25+O26</f>
        <v>88562</v>
      </c>
      <c r="P7" s="8">
        <f t="shared" si="26"/>
        <v>105108</v>
      </c>
      <c r="Q7" s="8">
        <f t="shared" si="26"/>
        <v>116787</v>
      </c>
      <c r="R7" s="17">
        <f t="shared" si="12"/>
        <v>1.0803669456169029</v>
      </c>
      <c r="S7" s="17">
        <f t="shared" si="13"/>
        <v>1.1868295657279646</v>
      </c>
      <c r="T7" s="17">
        <f t="shared" si="14"/>
        <v>1.1111142824523348</v>
      </c>
      <c r="U7" s="17">
        <f t="shared" si="15"/>
        <v>1.4246834362114817</v>
      </c>
      <c r="V7" s="18">
        <f t="shared" si="16"/>
        <v>95180.4</v>
      </c>
      <c r="W7" s="8">
        <f t="shared" ref="W7" si="27">W25+W26</f>
        <v>347641</v>
      </c>
      <c r="X7" s="70">
        <f t="shared" si="17"/>
        <v>3.6524431500603067</v>
      </c>
      <c r="Y7" s="71">
        <f t="shared" si="18"/>
        <v>0.77665911210492922</v>
      </c>
    </row>
    <row r="8" spans="1:25" x14ac:dyDescent="0.2">
      <c r="A8" s="4" t="s">
        <v>486</v>
      </c>
      <c r="B8" s="8">
        <f>SUMIF('Full 1801-31 data set'!$E$4:$E$484,"Historically",'Full 1801-31 data set'!M$4:M$484)</f>
        <v>3763</v>
      </c>
      <c r="C8" s="8">
        <f>SUMIF('Full 1801-31 data set'!$E$4:$E$484,"Historically",'Full 1801-31 data set'!N$4:N$484)</f>
        <v>4203</v>
      </c>
      <c r="D8" s="8">
        <f>SUMIF('Full 1801-31 data set'!$E$4:$E$484,"Historically",'Full 1801-31 data set'!O$4:O$484)</f>
        <v>7508</v>
      </c>
      <c r="E8" s="8">
        <f>SUMIF('Full 1801-31 data set'!$E$4:$E$484,"Historically",'Full 1801-31 data set'!P$4:P$484)</f>
        <v>4024</v>
      </c>
      <c r="F8" s="8">
        <f>SUMIF('Full 1801-31 data set'!$E$4:$E$484,"Historically",'Full 1801-31 data set'!Q$4:Q$484)</f>
        <v>9199</v>
      </c>
      <c r="G8" s="8">
        <f>SUMIF('Full 1801-31 data set'!$E$4:$E$484,"Historically",'Full 1801-31 data set'!R$4:R$484)</f>
        <v>20731</v>
      </c>
      <c r="H8" s="9">
        <f t="shared" si="0"/>
        <v>4.9324292172257911</v>
      </c>
      <c r="I8" s="10">
        <f t="shared" si="1"/>
        <v>0.36216294438280833</v>
      </c>
      <c r="J8" s="10">
        <f t="shared" si="2"/>
        <v>0.19410544595050891</v>
      </c>
      <c r="K8" s="10">
        <f t="shared" si="3"/>
        <v>0.44373160966668274</v>
      </c>
      <c r="L8" s="9">
        <f t="shared" si="4"/>
        <v>0.5359616409163559</v>
      </c>
      <c r="M8" s="9">
        <f t="shared" si="5"/>
        <v>0.79769337495664239</v>
      </c>
      <c r="N8" s="65">
        <f t="shared" si="11"/>
        <v>6.0786343231284838E-2</v>
      </c>
      <c r="O8" s="8">
        <f>SUMIF('Full 1801-31 data set'!$E$4:$E$484,"Historically",'Full 1801-31 data set'!Z$4:Z$484)</f>
        <v>22819</v>
      </c>
      <c r="P8" s="8">
        <f>SUMIF('Full 1801-31 data set'!$E$4:$E$484,"Historically",'Full 1801-31 data set'!AA$4:AA$484)</f>
        <v>26954</v>
      </c>
      <c r="Q8" s="8">
        <f>SUMIF('Full 1801-31 data set'!$E$4:$E$484,"Historically",'Full 1801-31 data set'!AB$4:AB$484)</f>
        <v>28793</v>
      </c>
      <c r="R8" s="17">
        <f t="shared" si="12"/>
        <v>1.1007187304037431</v>
      </c>
      <c r="S8" s="17">
        <f t="shared" si="13"/>
        <v>1.181208641921206</v>
      </c>
      <c r="T8" s="17">
        <f t="shared" si="14"/>
        <v>1.068227350300512</v>
      </c>
      <c r="U8" s="17">
        <f t="shared" si="15"/>
        <v>1.3888862090588974</v>
      </c>
      <c r="V8" s="18">
        <f t="shared" si="16"/>
        <v>24473</v>
      </c>
      <c r="W8" s="8">
        <f>SUMIF('Full 1801-31 data set'!$E$4:$E$484,"Historically",'Full 1801-31 data set'!AH$4:AH$484)</f>
        <v>119441</v>
      </c>
      <c r="X8" s="70">
        <f t="shared" si="17"/>
        <v>4.880521390920606</v>
      </c>
      <c r="Y8" s="71">
        <f t="shared" si="18"/>
        <v>1.0377988799138258</v>
      </c>
    </row>
    <row r="9" spans="1:25" x14ac:dyDescent="0.2">
      <c r="A9" s="4" t="s">
        <v>541</v>
      </c>
      <c r="B9" s="8">
        <f>SUMIF('Full 1801-31 data set'!$F$4:$F$484,"Large village",'Full 1801-31 data set'!M$4:M$484)</f>
        <v>2150</v>
      </c>
      <c r="C9" s="8">
        <f>SUMIF('Full 1801-31 data set'!$F$4:$F$484,"Large village",'Full 1801-31 data set'!N$4:N$484)</f>
        <v>2450</v>
      </c>
      <c r="D9" s="8">
        <f>SUMIF('Full 1801-31 data set'!$F$4:$F$484,"Large village",'Full 1801-31 data set'!O$4:O$484)</f>
        <v>3589</v>
      </c>
      <c r="E9" s="8">
        <f>SUMIF('Full 1801-31 data set'!$F$4:$F$484,"Large village",'Full 1801-31 data set'!P$4:P$484)</f>
        <v>2577</v>
      </c>
      <c r="F9" s="8">
        <f>SUMIF('Full 1801-31 data set'!$F$4:$F$484,"Large village",'Full 1801-31 data set'!Q$4:Q$484)</f>
        <v>5241</v>
      </c>
      <c r="G9" s="8">
        <f>SUMIF('Full 1801-31 data set'!$F$4:$F$484,"Large village",'Full 1801-31 data set'!R$4:R$484)</f>
        <v>11407</v>
      </c>
      <c r="H9" s="9">
        <f t="shared" si="0"/>
        <v>4.6559183673469384</v>
      </c>
      <c r="I9" s="10">
        <f t="shared" si="1"/>
        <v>0.31463136670465502</v>
      </c>
      <c r="J9" s="10">
        <f t="shared" si="2"/>
        <v>0.22591391250986237</v>
      </c>
      <c r="K9" s="10">
        <f t="shared" si="3"/>
        <v>0.45945472078548261</v>
      </c>
      <c r="L9" s="9">
        <f t="shared" si="4"/>
        <v>0.71802730565617168</v>
      </c>
      <c r="M9" s="9">
        <f t="shared" si="5"/>
        <v>0.84998378203048974</v>
      </c>
      <c r="N9" s="65">
        <f t="shared" si="11"/>
        <v>3.3447002905757854E-2</v>
      </c>
      <c r="O9" s="8">
        <f>SUMIF('Full 1801-31 data set'!$F$4:$F$484,"Large village",'Full 1801-31 data set'!Z$4:Z$484)</f>
        <v>12355</v>
      </c>
      <c r="P9" s="8">
        <f>SUMIF('Full 1801-31 data set'!$F$4:$F$484,"Large village",'Full 1801-31 data set'!AA$4:AA$484)</f>
        <v>13421</v>
      </c>
      <c r="Q9" s="8">
        <f>SUMIF('Full 1801-31 data set'!$F$4:$F$484,"Large village",'Full 1801-31 data set'!AB$4:AB$484)</f>
        <v>14266</v>
      </c>
      <c r="R9" s="17">
        <f t="shared" si="12"/>
        <v>1.0831068642061892</v>
      </c>
      <c r="S9" s="17">
        <f t="shared" si="13"/>
        <v>1.086280857952246</v>
      </c>
      <c r="T9" s="17">
        <f t="shared" si="14"/>
        <v>1.0629610312197302</v>
      </c>
      <c r="U9" s="17">
        <f t="shared" si="15"/>
        <v>1.2506355746471465</v>
      </c>
      <c r="V9" s="18">
        <f t="shared" si="16"/>
        <v>12781.400000000001</v>
      </c>
      <c r="W9" s="8">
        <f>SUMIF('Full 1801-31 data set'!$F$4:$F$484,"Large village",'Full 1801-31 data set'!AH$4:AH$484)</f>
        <v>55199</v>
      </c>
      <c r="X9" s="70">
        <f t="shared" si="17"/>
        <v>4.3186974822789361</v>
      </c>
      <c r="Y9" s="71">
        <f t="shared" si="18"/>
        <v>0.91833209011923167</v>
      </c>
    </row>
    <row r="10" spans="1:25" x14ac:dyDescent="0.2">
      <c r="A10" s="4" t="s">
        <v>487</v>
      </c>
      <c r="B10" s="8">
        <f>SUMIF('Full 1801-31 data set'!$F$4:$F$484,"Medium village",'Full 1801-31 data set'!M$4:M$484)</f>
        <v>4055</v>
      </c>
      <c r="C10" s="8">
        <f>SUMIF('Full 1801-31 data set'!$F$4:$F$484,"Medium village",'Full 1801-31 data set'!N$4:N$484)</f>
        <v>4514</v>
      </c>
      <c r="D10" s="8">
        <f>SUMIF('Full 1801-31 data set'!$F$4:$F$484,"Medium village",'Full 1801-31 data set'!O$4:O$484)</f>
        <v>6741</v>
      </c>
      <c r="E10" s="8">
        <f>SUMIF('Full 1801-31 data set'!$F$4:$F$484,"Medium village",'Full 1801-31 data set'!P$4:P$484)</f>
        <v>3077</v>
      </c>
      <c r="F10" s="8">
        <f>SUMIF('Full 1801-31 data set'!$F$4:$F$484,"Medium village",'Full 1801-31 data set'!Q$4:Q$484)</f>
        <v>11491</v>
      </c>
      <c r="G10" s="8">
        <f>SUMIF('Full 1801-31 data set'!$F$4:$F$484,"Medium village",'Full 1801-31 data set'!R$4:R$484)</f>
        <v>21309</v>
      </c>
      <c r="H10" s="9">
        <f t="shared" si="0"/>
        <v>4.7206468763845812</v>
      </c>
      <c r="I10" s="10">
        <f t="shared" si="1"/>
        <v>0.31634520625087992</v>
      </c>
      <c r="J10" s="10">
        <f t="shared" si="2"/>
        <v>0.1443990802008541</v>
      </c>
      <c r="K10" s="10">
        <f t="shared" si="3"/>
        <v>0.53925571354826596</v>
      </c>
      <c r="L10" s="9">
        <f t="shared" si="4"/>
        <v>0.45646046580626021</v>
      </c>
      <c r="M10" s="9">
        <f t="shared" si="5"/>
        <v>1.1704013037278469</v>
      </c>
      <c r="N10" s="65">
        <f t="shared" si="11"/>
        <v>6.2481124302515491E-2</v>
      </c>
      <c r="O10" s="8">
        <f>SUMIF('Full 1801-31 data set'!$F$4:$F$484,"Medium village",'Full 1801-31 data set'!Z$4:Z$484)</f>
        <v>23067</v>
      </c>
      <c r="P10" s="8">
        <f>SUMIF('Full 1801-31 data set'!$F$4:$F$484,"Medium village",'Full 1801-31 data set'!AA$4:AA$484)</f>
        <v>26814</v>
      </c>
      <c r="Q10" s="8">
        <f>SUMIF('Full 1801-31 data set'!$F$4:$F$484,"Medium village",'Full 1801-31 data set'!AB$4:AB$484)</f>
        <v>29325</v>
      </c>
      <c r="R10" s="17">
        <f t="shared" si="12"/>
        <v>1.0825003519639589</v>
      </c>
      <c r="S10" s="17">
        <f t="shared" si="13"/>
        <v>1.1624398491351282</v>
      </c>
      <c r="T10" s="17">
        <f t="shared" si="14"/>
        <v>1.0936451107630343</v>
      </c>
      <c r="U10" s="17">
        <f t="shared" si="15"/>
        <v>1.3761790792622834</v>
      </c>
      <c r="V10" s="18">
        <f t="shared" si="16"/>
        <v>24565.8</v>
      </c>
      <c r="W10" s="8">
        <f>SUMIF('Full 1801-31 data set'!$F$4:$F$484,"Medium village",'Full 1801-31 data set'!AH$4:AH$484)</f>
        <v>136973</v>
      </c>
      <c r="X10" s="70">
        <f t="shared" si="17"/>
        <v>5.5757597961393488</v>
      </c>
      <c r="Y10" s="71">
        <f t="shared" si="18"/>
        <v>1.1856350597841465</v>
      </c>
    </row>
    <row r="11" spans="1:25" x14ac:dyDescent="0.2">
      <c r="A11" s="4" t="s">
        <v>543</v>
      </c>
      <c r="B11" s="8">
        <f t="shared" ref="B11:G11" si="28">B5-B6-B9-B10</f>
        <v>25327</v>
      </c>
      <c r="C11" s="8">
        <f t="shared" si="28"/>
        <v>27835</v>
      </c>
      <c r="D11" s="8">
        <f t="shared" si="28"/>
        <v>62869</v>
      </c>
      <c r="E11" s="8">
        <f t="shared" si="28"/>
        <v>16738</v>
      </c>
      <c r="F11" s="8">
        <f t="shared" si="28"/>
        <v>62180</v>
      </c>
      <c r="G11" s="8">
        <f t="shared" si="28"/>
        <v>141787</v>
      </c>
      <c r="H11" s="9">
        <f t="shared" si="0"/>
        <v>5.0938386922938745</v>
      </c>
      <c r="I11" s="10">
        <f t="shared" si="1"/>
        <v>0.44340454343487062</v>
      </c>
      <c r="J11" s="10">
        <f t="shared" si="2"/>
        <v>0.1180503149089832</v>
      </c>
      <c r="K11" s="10">
        <f t="shared" si="3"/>
        <v>0.43854514165614616</v>
      </c>
      <c r="L11" s="9">
        <f t="shared" si="4"/>
        <v>0.26623614181870237</v>
      </c>
      <c r="M11" s="9">
        <f t="shared" si="5"/>
        <v>0.78108709033125223</v>
      </c>
      <c r="N11" s="65">
        <f t="shared" si="11"/>
        <v>0.41574035250273422</v>
      </c>
      <c r="O11" s="8">
        <f t="shared" ref="O11:Q11" si="29">O5-O6-O9-O10</f>
        <v>153243</v>
      </c>
      <c r="P11" s="8">
        <f t="shared" si="29"/>
        <v>177190</v>
      </c>
      <c r="Q11" s="8">
        <f t="shared" si="29"/>
        <v>194474</v>
      </c>
      <c r="R11" s="17">
        <f t="shared" si="12"/>
        <v>1.0807972522163527</v>
      </c>
      <c r="S11" s="17">
        <f t="shared" si="13"/>
        <v>1.1562681492792493</v>
      </c>
      <c r="T11" s="17">
        <f t="shared" si="14"/>
        <v>1.097545008183306</v>
      </c>
      <c r="U11" s="17">
        <f t="shared" si="15"/>
        <v>1.3715926001678573</v>
      </c>
      <c r="V11" s="18">
        <f t="shared" si="16"/>
        <v>162821.79999999999</v>
      </c>
      <c r="W11" s="8">
        <f t="shared" ref="W11" si="30">W5-W6-W9-W10</f>
        <v>960480</v>
      </c>
      <c r="X11" s="70">
        <f t="shared" si="17"/>
        <v>5.8989643892893957</v>
      </c>
      <c r="Y11" s="71">
        <f t="shared" si="18"/>
        <v>1.2543616030953013</v>
      </c>
    </row>
    <row r="12" spans="1:25" x14ac:dyDescent="0.2">
      <c r="A12" s="1"/>
      <c r="B12" s="12"/>
      <c r="C12" s="12"/>
      <c r="D12" s="12"/>
      <c r="E12" s="12"/>
      <c r="F12" s="12"/>
      <c r="G12" s="12"/>
      <c r="H12" s="13"/>
      <c r="I12" s="14"/>
      <c r="J12" s="14"/>
      <c r="K12" s="14"/>
      <c r="L12" s="13"/>
      <c r="M12" s="13"/>
    </row>
    <row r="13" spans="1:25" x14ac:dyDescent="0.2">
      <c r="A13" s="6"/>
      <c r="B13" s="6"/>
      <c r="C13" s="6"/>
      <c r="D13" s="6"/>
      <c r="E13" s="6"/>
      <c r="F13" s="6"/>
      <c r="G13" s="6"/>
      <c r="H13" s="13"/>
      <c r="I13" s="14"/>
      <c r="J13" s="14"/>
      <c r="K13" s="14"/>
      <c r="L13" s="13"/>
      <c r="M13" s="13"/>
    </row>
    <row r="14" spans="1:25" x14ac:dyDescent="0.2">
      <c r="A14" s="4" t="s">
        <v>516</v>
      </c>
      <c r="B14" s="8">
        <f>SUMIF('Full 1801-31 data set'!$B$4:$B$484,1,'Full 1801-31 data set'!M$4:M$484)</f>
        <v>1438</v>
      </c>
      <c r="C14" s="8">
        <f>SUMIF('Full 1801-31 data set'!$B$4:$B$484,1,'Full 1801-31 data set'!N$4:N$484)</f>
        <v>1555</v>
      </c>
      <c r="D14" s="8">
        <f>SUMIF('Full 1801-31 data set'!$B$4:$B$484,1,'Full 1801-31 data set'!O$4:O$484)</f>
        <v>888</v>
      </c>
      <c r="E14" s="8">
        <f>SUMIF('Full 1801-31 data set'!$B$4:$B$484,1,'Full 1801-31 data set'!P$4:P$484)</f>
        <v>2172</v>
      </c>
      <c r="F14" s="8">
        <f>SUMIF('Full 1801-31 data set'!$B$4:$B$484,1,'Full 1801-31 data set'!Q$4:Q$484)</f>
        <v>4364</v>
      </c>
      <c r="G14" s="8">
        <f>SUMIF('Full 1801-31 data set'!$B$4:$B$484,1,'Full 1801-31 data set'!R$4:R$484)</f>
        <v>7424</v>
      </c>
      <c r="H14" s="9">
        <f t="shared" ref="H14:H18" si="31">G14/C14</f>
        <v>4.7742765273311898</v>
      </c>
      <c r="I14" s="10">
        <f t="shared" ref="I14:I18" si="32">D14/G14</f>
        <v>0.11961206896551724</v>
      </c>
      <c r="J14" s="10">
        <f t="shared" ref="J14:J18" si="33">E14/G14</f>
        <v>0.29256465517241381</v>
      </c>
      <c r="K14" s="10">
        <f t="shared" ref="K14:K18" si="34">F14/G14</f>
        <v>0.58782327586206895</v>
      </c>
      <c r="L14" s="9">
        <f t="shared" ref="L14:L18" si="35">E14/D14</f>
        <v>2.4459459459459461</v>
      </c>
      <c r="M14" s="9">
        <f t="shared" ref="M14:M18" si="36">F14/(D14+E14)</f>
        <v>1.4261437908496732</v>
      </c>
      <c r="N14" s="65">
        <f t="shared" ref="N14:N18" si="37">G14/G$2</f>
        <v>2.1768260679613075E-2</v>
      </c>
      <c r="O14" s="8">
        <f>SUMIF('Full 1801-31 data set'!$B$4:$B$484,1,'Full 1801-31 data set'!Z$4:Z$484)</f>
        <v>8584</v>
      </c>
      <c r="P14" s="8">
        <f>SUMIF('Full 1801-31 data set'!$B$4:$B$484,1,'Full 1801-31 data set'!AA$4:AA$484)</f>
        <v>10730</v>
      </c>
      <c r="Q14" s="8">
        <f>SUMIF('Full 1801-31 data set'!$B$4:$B$484,1,'Full 1801-31 data set'!AB$4:AB$484)</f>
        <v>11536</v>
      </c>
      <c r="R14" s="17">
        <f t="shared" ref="R14:R18" si="38">O14/G14</f>
        <v>1.15625</v>
      </c>
      <c r="S14" s="17">
        <f t="shared" ref="S14:S18" si="39">P14/O14</f>
        <v>1.25</v>
      </c>
      <c r="T14" s="17">
        <f t="shared" ref="T14:T18" si="40">Q14/P14</f>
        <v>1.075116495806151</v>
      </c>
      <c r="U14" s="17">
        <f t="shared" ref="U14:U18" si="41">Q14/G14</f>
        <v>1.5538793103448276</v>
      </c>
      <c r="V14" s="18">
        <f t="shared" ref="V14:V18" si="42">0.6*O14+0.4*P14</f>
        <v>9442.4</v>
      </c>
      <c r="W14" s="8">
        <f>SUMIF('Full 1801-31 data set'!$B$4:$B$484,1,'Full 1801-31 data set'!AH$4:AH$484)</f>
        <v>47038</v>
      </c>
      <c r="X14" s="70">
        <f t="shared" ref="X14:X18" si="43">W14/V14</f>
        <v>4.9815724815724813</v>
      </c>
      <c r="Y14" s="71">
        <f t="shared" ref="Y14:Y18" si="44">X14/X$2</f>
        <v>1.0592864834489073</v>
      </c>
    </row>
    <row r="15" spans="1:25" x14ac:dyDescent="0.2">
      <c r="A15" s="4" t="s">
        <v>517</v>
      </c>
      <c r="B15" s="8">
        <f>SUMIF('Full 1801-31 data set'!$B$4:$B$484,2,'Full 1801-31 data set'!M$4:M$484)</f>
        <v>1083</v>
      </c>
      <c r="C15" s="8">
        <f>SUMIF('Full 1801-31 data set'!$B$4:$B$484,2,'Full 1801-31 data set'!N$4:N$484)</f>
        <v>1216</v>
      </c>
      <c r="D15" s="8">
        <f>SUMIF('Full 1801-31 data set'!$B$4:$B$484,2,'Full 1801-31 data set'!O$4:O$484)</f>
        <v>1716</v>
      </c>
      <c r="E15" s="8">
        <f>SUMIF('Full 1801-31 data set'!$B$4:$B$484,2,'Full 1801-31 data set'!P$4:P$484)</f>
        <v>971</v>
      </c>
      <c r="F15" s="8">
        <f>SUMIF('Full 1801-31 data set'!$B$4:$B$484,2,'Full 1801-31 data set'!Q$4:Q$484)</f>
        <v>3223</v>
      </c>
      <c r="G15" s="8">
        <f>SUMIF('Full 1801-31 data set'!$B$4:$B$484,2,'Full 1801-31 data set'!R$4:R$484)</f>
        <v>5910</v>
      </c>
      <c r="H15" s="9">
        <f t="shared" si="31"/>
        <v>4.8601973684210522</v>
      </c>
      <c r="I15" s="10">
        <f t="shared" si="32"/>
        <v>0.29035532994923857</v>
      </c>
      <c r="J15" s="10">
        <f t="shared" si="33"/>
        <v>0.16429780033840949</v>
      </c>
      <c r="K15" s="10">
        <f t="shared" si="34"/>
        <v>0.54534686971235191</v>
      </c>
      <c r="L15" s="9">
        <f t="shared" si="35"/>
        <v>0.56585081585081587</v>
      </c>
      <c r="M15" s="9">
        <f t="shared" si="36"/>
        <v>1.1994789728321549</v>
      </c>
      <c r="N15" s="65">
        <f t="shared" si="37"/>
        <v>1.7328989845974307E-2</v>
      </c>
      <c r="O15" s="8">
        <f>SUMIF('Full 1801-31 data set'!$B$4:$B$484,2,'Full 1801-31 data set'!Z$4:Z$484)</f>
        <v>6221</v>
      </c>
      <c r="P15" s="8">
        <f>SUMIF('Full 1801-31 data set'!$B$4:$B$484,2,'Full 1801-31 data set'!AA$4:AA$484)</f>
        <v>6952</v>
      </c>
      <c r="Q15" s="8">
        <f>SUMIF('Full 1801-31 data set'!$B$4:$B$484,2,'Full 1801-31 data set'!AB$4:AB$484)</f>
        <v>7447</v>
      </c>
      <c r="R15" s="17">
        <f t="shared" si="38"/>
        <v>1.0526226734348563</v>
      </c>
      <c r="S15" s="17">
        <f t="shared" si="39"/>
        <v>1.1175052242404757</v>
      </c>
      <c r="T15" s="17">
        <f t="shared" si="40"/>
        <v>1.0712025316455696</v>
      </c>
      <c r="U15" s="17">
        <f t="shared" si="41"/>
        <v>1.2600676818950931</v>
      </c>
      <c r="V15" s="18">
        <f t="shared" si="42"/>
        <v>6513.4</v>
      </c>
      <c r="W15" s="8">
        <f>SUMIF('Full 1801-31 data set'!$B$4:$B$484,2,'Full 1801-31 data set'!AH$4:AH$484)</f>
        <v>47704</v>
      </c>
      <c r="X15" s="70">
        <f t="shared" si="43"/>
        <v>7.3239782602020451</v>
      </c>
      <c r="Y15" s="71">
        <f t="shared" si="44"/>
        <v>1.5573779574229387</v>
      </c>
    </row>
    <row r="16" spans="1:25" x14ac:dyDescent="0.2">
      <c r="A16" s="4" t="s">
        <v>518</v>
      </c>
      <c r="B16" s="8">
        <f>SUMIF('Full 1801-31 data set'!$B$4:$B$484,3,'Full 1801-31 data set'!M$4:M$484)</f>
        <v>245</v>
      </c>
      <c r="C16" s="8">
        <f>SUMIF('Full 1801-31 data set'!$B$4:$B$484,3,'Full 1801-31 data set'!N$4:N$484)</f>
        <v>271</v>
      </c>
      <c r="D16" s="8">
        <f>SUMIF('Full 1801-31 data set'!$B$4:$B$484,3,'Full 1801-31 data set'!O$4:O$484)</f>
        <v>996</v>
      </c>
      <c r="E16" s="8">
        <f>SUMIF('Full 1801-31 data set'!$B$4:$B$484,3,'Full 1801-31 data set'!P$4:P$484)</f>
        <v>160</v>
      </c>
      <c r="F16" s="8">
        <f>SUMIF('Full 1801-31 data set'!$B$4:$B$484,3,'Full 1801-31 data set'!Q$4:Q$484)</f>
        <v>270</v>
      </c>
      <c r="G16" s="8">
        <f>SUMIF('Full 1801-31 data set'!$B$4:$B$484,3,'Full 1801-31 data set'!R$4:R$484)</f>
        <v>1426</v>
      </c>
      <c r="H16" s="9">
        <f t="shared" si="31"/>
        <v>5.2619926199261995</v>
      </c>
      <c r="I16" s="10">
        <f t="shared" si="32"/>
        <v>0.69845722300140256</v>
      </c>
      <c r="J16" s="10">
        <f t="shared" si="33"/>
        <v>0.11220196353436185</v>
      </c>
      <c r="K16" s="10">
        <f t="shared" si="34"/>
        <v>0.18934081346423562</v>
      </c>
      <c r="L16" s="9">
        <f t="shared" si="35"/>
        <v>0.1606425702811245</v>
      </c>
      <c r="M16" s="9">
        <f t="shared" si="36"/>
        <v>0.23356401384083045</v>
      </c>
      <c r="N16" s="65">
        <f t="shared" si="37"/>
        <v>4.1812418816174896E-3</v>
      </c>
      <c r="O16" s="8">
        <f>SUMIF('Full 1801-31 data set'!$B$4:$B$484,3,'Full 1801-31 data set'!Z$4:Z$484)</f>
        <v>1436</v>
      </c>
      <c r="P16" s="8">
        <f>SUMIF('Full 1801-31 data set'!$B$4:$B$484,3,'Full 1801-31 data set'!AA$4:AA$484)</f>
        <v>1814</v>
      </c>
      <c r="Q16" s="8">
        <f>SUMIF('Full 1801-31 data set'!$B$4:$B$484,3,'Full 1801-31 data set'!AB$4:AB$484)</f>
        <v>1878</v>
      </c>
      <c r="R16" s="17">
        <f t="shared" si="38"/>
        <v>1.0070126227208975</v>
      </c>
      <c r="S16" s="17">
        <f t="shared" si="39"/>
        <v>1.2632311977715878</v>
      </c>
      <c r="T16" s="17">
        <f t="shared" si="40"/>
        <v>1.0352811466372658</v>
      </c>
      <c r="U16" s="17">
        <f t="shared" si="41"/>
        <v>1.3169705469845723</v>
      </c>
      <c r="V16" s="18">
        <f t="shared" si="42"/>
        <v>1587.2</v>
      </c>
      <c r="W16" s="8">
        <f>SUMIF('Full 1801-31 data set'!$B$4:$B$484,3,'Full 1801-31 data set'!AH$4:AH$484)</f>
        <v>12271</v>
      </c>
      <c r="X16" s="70">
        <f t="shared" si="43"/>
        <v>7.731224798387097</v>
      </c>
      <c r="Y16" s="71">
        <f t="shared" si="44"/>
        <v>1.6439752627771334</v>
      </c>
    </row>
    <row r="17" spans="1:25" x14ac:dyDescent="0.2">
      <c r="A17" s="4" t="s">
        <v>519</v>
      </c>
      <c r="B17" s="8">
        <f>SUMIF('Full 1801-31 data set'!$B$4:$B$484,4,'Full 1801-31 data set'!M$4:M$484)</f>
        <v>695</v>
      </c>
      <c r="C17" s="8">
        <f>SUMIF('Full 1801-31 data set'!$B$4:$B$484,4,'Full 1801-31 data set'!N$4:N$484)</f>
        <v>736</v>
      </c>
      <c r="D17" s="8">
        <f>SUMIF('Full 1801-31 data set'!$B$4:$B$484,4,'Full 1801-31 data set'!O$4:O$484)</f>
        <v>1566</v>
      </c>
      <c r="E17" s="8">
        <f>SUMIF('Full 1801-31 data set'!$B$4:$B$484,4,'Full 1801-31 data set'!P$4:P$484)</f>
        <v>535</v>
      </c>
      <c r="F17" s="8">
        <f>SUMIF('Full 1801-31 data set'!$B$4:$B$484,4,'Full 1801-31 data set'!Q$4:Q$484)</f>
        <v>1332</v>
      </c>
      <c r="G17" s="8">
        <f>SUMIF('Full 1801-31 data set'!$B$4:$B$484,4,'Full 1801-31 data set'!R$4:R$484)</f>
        <v>3433</v>
      </c>
      <c r="H17" s="9">
        <f t="shared" si="31"/>
        <v>4.6644021739130439</v>
      </c>
      <c r="I17" s="10">
        <f t="shared" si="32"/>
        <v>0.45616079230993301</v>
      </c>
      <c r="J17" s="10">
        <f t="shared" si="33"/>
        <v>0.15584037285173319</v>
      </c>
      <c r="K17" s="10">
        <f t="shared" si="34"/>
        <v>0.38799883483833381</v>
      </c>
      <c r="L17" s="9">
        <f t="shared" si="35"/>
        <v>0.34163473818646234</v>
      </c>
      <c r="M17" s="9">
        <f t="shared" si="36"/>
        <v>0.6339838172298905</v>
      </c>
      <c r="N17" s="65">
        <f t="shared" si="37"/>
        <v>1.006606127601181E-2</v>
      </c>
      <c r="O17" s="8">
        <f>SUMIF('Full 1801-31 data set'!$B$4:$B$484,4,'Full 1801-31 data set'!Z$4:Z$484)</f>
        <v>3625</v>
      </c>
      <c r="P17" s="8">
        <f>SUMIF('Full 1801-31 data set'!$B$4:$B$484,4,'Full 1801-31 data set'!AA$4:AA$484)</f>
        <v>4313</v>
      </c>
      <c r="Q17" s="8">
        <f>SUMIF('Full 1801-31 data set'!$B$4:$B$484,4,'Full 1801-31 data set'!AB$4:AB$484)</f>
        <v>4577</v>
      </c>
      <c r="R17" s="17">
        <f t="shared" si="38"/>
        <v>1.0559277599766967</v>
      </c>
      <c r="S17" s="17">
        <f t="shared" si="39"/>
        <v>1.1897931034482758</v>
      </c>
      <c r="T17" s="17">
        <f t="shared" si="40"/>
        <v>1.0612102944586135</v>
      </c>
      <c r="U17" s="17">
        <f t="shared" si="41"/>
        <v>1.3332362365278183</v>
      </c>
      <c r="V17" s="18">
        <f t="shared" si="42"/>
        <v>3900.2</v>
      </c>
      <c r="W17" s="8">
        <f>SUMIF('Full 1801-31 data set'!$B$4:$B$484,4,'Full 1801-31 data set'!AH$4:AH$484)</f>
        <v>22315</v>
      </c>
      <c r="X17" s="70">
        <f t="shared" si="43"/>
        <v>5.7215014614635153</v>
      </c>
      <c r="Y17" s="71">
        <f t="shared" si="44"/>
        <v>1.2166257111747072</v>
      </c>
    </row>
    <row r="18" spans="1:25" x14ac:dyDescent="0.2">
      <c r="A18" s="4" t="s">
        <v>520</v>
      </c>
      <c r="B18" s="8">
        <f>SUMIF('Full 1801-31 data set'!$B$4:$B$484,5,'Full 1801-31 data set'!M$4:M$484)</f>
        <v>855</v>
      </c>
      <c r="C18" s="8">
        <f>SUMIF('Full 1801-31 data set'!$B$4:$B$484,5,'Full 1801-31 data set'!N$4:N$484)</f>
        <v>1032</v>
      </c>
      <c r="D18" s="8">
        <f>SUMIF('Full 1801-31 data set'!$B$4:$B$484,5,'Full 1801-31 data set'!O$4:O$484)</f>
        <v>2232</v>
      </c>
      <c r="E18" s="8">
        <f>SUMIF('Full 1801-31 data set'!$B$4:$B$484,5,'Full 1801-31 data set'!P$4:P$484)</f>
        <v>908</v>
      </c>
      <c r="F18" s="8">
        <f>SUMIF('Full 1801-31 data set'!$B$4:$B$484,5,'Full 1801-31 data set'!Q$4:Q$484)</f>
        <v>2031</v>
      </c>
      <c r="G18" s="8">
        <f>SUMIF('Full 1801-31 data set'!$B$4:$B$484,5,'Full 1801-31 data set'!R$4:R$484)</f>
        <v>5171</v>
      </c>
      <c r="H18" s="9">
        <f t="shared" si="31"/>
        <v>5.0106589147286824</v>
      </c>
      <c r="I18" s="10">
        <f t="shared" si="32"/>
        <v>0.43163798104815315</v>
      </c>
      <c r="J18" s="10">
        <f t="shared" si="33"/>
        <v>0.17559466254109457</v>
      </c>
      <c r="K18" s="10">
        <f t="shared" si="34"/>
        <v>0.39276735641075228</v>
      </c>
      <c r="L18" s="9">
        <f t="shared" si="35"/>
        <v>0.40681003584229392</v>
      </c>
      <c r="M18" s="9">
        <f t="shared" si="36"/>
        <v>0.64681528662420384</v>
      </c>
      <c r="N18" s="65">
        <f t="shared" si="37"/>
        <v>1.5162133078432005E-2</v>
      </c>
      <c r="O18" s="8">
        <f>SUMIF('Full 1801-31 data set'!$B$4:$B$484,5,'Full 1801-31 data set'!Z$4:Z$484)</f>
        <v>5018</v>
      </c>
      <c r="P18" s="8">
        <f>SUMIF('Full 1801-31 data set'!$B$4:$B$484,5,'Full 1801-31 data set'!AA$4:AA$484)</f>
        <v>5888</v>
      </c>
      <c r="Q18" s="8">
        <f>SUMIF('Full 1801-31 data set'!$B$4:$B$484,5,'Full 1801-31 data set'!AB$4:AB$484)</f>
        <v>6017</v>
      </c>
      <c r="R18" s="17">
        <f t="shared" si="38"/>
        <v>0.97041191258944115</v>
      </c>
      <c r="S18" s="17">
        <f t="shared" si="39"/>
        <v>1.1733758469509765</v>
      </c>
      <c r="T18" s="17">
        <f t="shared" si="40"/>
        <v>1.0219089673913044</v>
      </c>
      <c r="U18" s="17">
        <f t="shared" si="41"/>
        <v>1.1636047186230902</v>
      </c>
      <c r="V18" s="18">
        <f t="shared" si="42"/>
        <v>5366</v>
      </c>
      <c r="W18" s="8">
        <f>SUMIF('Full 1801-31 data set'!$B$4:$B$484,5,'Full 1801-31 data set'!AH$4:AH$484)</f>
        <v>32464</v>
      </c>
      <c r="X18" s="70">
        <f t="shared" si="43"/>
        <v>6.0499440924338428</v>
      </c>
      <c r="Y18" s="71">
        <f t="shared" si="44"/>
        <v>1.2864660760117643</v>
      </c>
    </row>
    <row r="19" spans="1:25" x14ac:dyDescent="0.2">
      <c r="A19" s="6"/>
      <c r="B19" s="6"/>
      <c r="C19" s="6"/>
      <c r="D19" s="6"/>
      <c r="E19" s="6"/>
      <c r="F19" s="6"/>
      <c r="G19" s="6"/>
      <c r="H19" s="13"/>
      <c r="I19" s="14"/>
      <c r="J19" s="14"/>
      <c r="K19" s="14"/>
      <c r="L19" s="13"/>
      <c r="M19" s="13"/>
    </row>
    <row r="20" spans="1:25" x14ac:dyDescent="0.2">
      <c r="A20" s="6"/>
      <c r="B20" s="6"/>
      <c r="C20" s="6"/>
      <c r="D20" s="6"/>
      <c r="E20" s="6"/>
      <c r="F20" s="6"/>
      <c r="G20" s="6"/>
      <c r="H20" s="13"/>
      <c r="I20" s="14"/>
      <c r="J20" s="14"/>
      <c r="K20" s="14"/>
      <c r="L20" s="13"/>
      <c r="M20" s="13"/>
    </row>
    <row r="21" spans="1:25" x14ac:dyDescent="0.2">
      <c r="A21" s="6"/>
      <c r="B21" s="6"/>
      <c r="C21" s="6"/>
      <c r="D21" s="6"/>
      <c r="E21" s="6"/>
      <c r="F21" s="6"/>
      <c r="G21" s="6"/>
      <c r="H21" s="13"/>
      <c r="I21" s="14"/>
      <c r="J21" s="14"/>
      <c r="K21" s="14"/>
      <c r="L21" s="13"/>
      <c r="M21" s="13"/>
    </row>
    <row r="22" spans="1:25" x14ac:dyDescent="0.2">
      <c r="A22" s="6"/>
      <c r="B22" s="6"/>
      <c r="C22" s="6"/>
      <c r="D22" s="6"/>
      <c r="E22" s="6"/>
      <c r="F22" s="6"/>
      <c r="G22" s="6"/>
      <c r="H22" s="13"/>
      <c r="I22" s="14"/>
      <c r="J22" s="14"/>
      <c r="K22" s="14"/>
      <c r="L22" s="13"/>
      <c r="M22" s="13"/>
    </row>
    <row r="24" spans="1:25" x14ac:dyDescent="0.2">
      <c r="A24" s="1" t="s">
        <v>484</v>
      </c>
      <c r="B24" s="1"/>
      <c r="C24" s="12"/>
      <c r="D24" s="12"/>
      <c r="E24" s="12"/>
      <c r="F24" s="12"/>
      <c r="G24" s="12"/>
      <c r="H24" s="13"/>
      <c r="I24" s="14"/>
      <c r="J24" s="14"/>
      <c r="K24" s="14"/>
      <c r="L24" s="13"/>
      <c r="M24" s="13"/>
    </row>
    <row r="25" spans="1:25" x14ac:dyDescent="0.2">
      <c r="A25" s="1" t="s">
        <v>476</v>
      </c>
      <c r="B25" s="8">
        <f>SUMIF('Full 1801-31 data set'!$E$4:$E$484,"Yes",'Full 1801-31 data set'!M$4:M$484)</f>
        <v>13793</v>
      </c>
      <c r="C25" s="8">
        <f>SUMIF('Full 1801-31 data set'!$E$4:$E$484,"Yes",'Full 1801-31 data set'!N$4:N$484)</f>
        <v>16490</v>
      </c>
      <c r="D25" s="8">
        <f>SUMIF('Full 1801-31 data set'!$E$4:$E$484,"Yes",'Full 1801-31 data set'!O$4:O$484)</f>
        <v>13333</v>
      </c>
      <c r="E25" s="8">
        <f>SUMIF('Full 1801-31 data set'!$E$4:$E$484,"Yes",'Full 1801-31 data set'!P$4:P$484)</f>
        <v>19416</v>
      </c>
      <c r="F25" s="8">
        <f>SUMIF('Full 1801-31 data set'!$E$4:$E$484,"Yes",'Full 1801-31 data set'!Q$4:Q$484)</f>
        <v>41922</v>
      </c>
      <c r="G25" s="8">
        <f>SUMIF('Full 1801-31 data set'!$E$4:$E$484,"Yes",'Full 1801-31 data set'!R$4:R$484)</f>
        <v>74671</v>
      </c>
      <c r="H25" s="9">
        <f>G25/C25</f>
        <v>4.5282595512431776</v>
      </c>
      <c r="I25" s="10">
        <f>D25/G25</f>
        <v>0.17855660162579851</v>
      </c>
      <c r="J25" s="10">
        <f>E25/G25</f>
        <v>0.26002062380308288</v>
      </c>
      <c r="K25" s="10">
        <f>F25/G25</f>
        <v>0.56142277457111867</v>
      </c>
      <c r="L25" s="9">
        <f>E25/D25</f>
        <v>1.4562364059101478</v>
      </c>
      <c r="M25" s="9">
        <f>F25/(D25+E25)</f>
        <v>1.2801001557299458</v>
      </c>
      <c r="N25" s="65">
        <f t="shared" ref="N25:N26" si="45">G25/G$2</f>
        <v>0.21894636223159858</v>
      </c>
      <c r="O25" s="8">
        <f>SUMIF('Full 1801-31 data set'!$E$4:$E$484,"Yes",'Full 1801-31 data set'!Z$4:Z$484)</f>
        <v>80341</v>
      </c>
      <c r="P25" s="8">
        <f>SUMIF('Full 1801-31 data set'!$E$4:$E$484,"Yes",'Full 1801-31 data set'!AA$4:AA$484)</f>
        <v>95502</v>
      </c>
      <c r="Q25" s="8">
        <f>SUMIF('Full 1801-31 data set'!$E$4:$E$484,"Yes",'Full 1801-31 data set'!AB$4:AB$484)</f>
        <v>106609</v>
      </c>
      <c r="R25" s="17">
        <f t="shared" ref="R25:R26" si="46">O25/G25</f>
        <v>1.0759330931687001</v>
      </c>
      <c r="S25" s="17">
        <f t="shared" ref="S25:S26" si="47">P25/O25</f>
        <v>1.1887081315891015</v>
      </c>
      <c r="T25" s="17">
        <f t="shared" ref="T25:T26" si="48">Q25/P25</f>
        <v>1.1163012292936274</v>
      </c>
      <c r="U25" s="17">
        <f t="shared" ref="U25:U26" si="49">Q25/G25</f>
        <v>1.4277162486105717</v>
      </c>
      <c r="V25" s="18">
        <f t="shared" ref="V25:V26" si="50">0.6*O25+0.4*P25</f>
        <v>86405.4</v>
      </c>
      <c r="W25" s="8">
        <f>SUMIF('Full 1801-31 data set'!$E$4:$E$484,"Yes",'Full 1801-31 data set'!AH$4:AH$484)</f>
        <v>314812</v>
      </c>
      <c r="X25" s="70">
        <f t="shared" ref="X25:X26" si="51">W25/V25</f>
        <v>3.6434296930515919</v>
      </c>
      <c r="Y25" s="71">
        <f t="shared" ref="Y25:Y26" si="52">X25/X$2</f>
        <v>0.77474248172088922</v>
      </c>
    </row>
    <row r="26" spans="1:25" x14ac:dyDescent="0.2">
      <c r="A26" s="1" t="s">
        <v>477</v>
      </c>
      <c r="B26" s="8">
        <f>SUMIF('Full 1801-31 data set'!$E$4:$E$484,"Yes (part)",'Full 1801-31 data set'!M$4:M$484)</f>
        <v>1107</v>
      </c>
      <c r="C26" s="8">
        <f>SUMIF('Full 1801-31 data set'!$E$4:$E$484,"Yes (part)",'Full 1801-31 data set'!N$4:N$484)</f>
        <v>1815</v>
      </c>
      <c r="D26" s="8">
        <f>SUMIF('Full 1801-31 data set'!$E$4:$E$484,"Yes (part)",'Full 1801-31 data set'!O$4:O$484)</f>
        <v>668</v>
      </c>
      <c r="E26" s="8">
        <f>SUMIF('Full 1801-31 data set'!$E$4:$E$484,"Yes (part)",'Full 1801-31 data set'!P$4:P$484)</f>
        <v>2225</v>
      </c>
      <c r="F26" s="8">
        <f>SUMIF('Full 1801-31 data set'!$E$4:$E$484,"Yes (part)",'Full 1801-31 data set'!Q$4:Q$484)</f>
        <v>4410</v>
      </c>
      <c r="G26" s="8">
        <f>SUMIF('Full 1801-31 data set'!$E$4:$E$484,"Yes (part)",'Full 1801-31 data set'!R$4:R$484)</f>
        <v>7303</v>
      </c>
      <c r="H26" s="9">
        <f>G26/C26</f>
        <v>4.0236914600550966</v>
      </c>
      <c r="I26" s="10">
        <f>D26/G26</f>
        <v>9.1469259208544429E-2</v>
      </c>
      <c r="J26" s="10">
        <f>E26/G26</f>
        <v>0.30466931398055591</v>
      </c>
      <c r="K26" s="10">
        <f>F26/G26</f>
        <v>0.6038614268108996</v>
      </c>
      <c r="L26" s="9">
        <f>E26/D26</f>
        <v>3.3308383233532934</v>
      </c>
      <c r="M26" s="9">
        <f>F26/(D26+E26)</f>
        <v>1.5243691669547184</v>
      </c>
      <c r="N26" s="65">
        <f t="shared" si="45"/>
        <v>2.1413470870583821E-2</v>
      </c>
      <c r="O26" s="8">
        <f>SUMIF('Full 1801-31 data set'!$E$4:$E$484,"Yes (part)",'Full 1801-31 data set'!Z$4:Z$484)</f>
        <v>8221</v>
      </c>
      <c r="P26" s="8">
        <f>SUMIF('Full 1801-31 data set'!$E$4:$E$484,"Yes (part)",'Full 1801-31 data set'!AA$4:AA$484)</f>
        <v>9606</v>
      </c>
      <c r="Q26" s="8">
        <f>SUMIF('Full 1801-31 data set'!$E$4:$E$484,"Yes (part)",'Full 1801-31 data set'!AB$4:AB$484)</f>
        <v>10178</v>
      </c>
      <c r="R26" s="17">
        <f t="shared" si="46"/>
        <v>1.125701766397371</v>
      </c>
      <c r="S26" s="17">
        <f t="shared" si="47"/>
        <v>1.1684709889307869</v>
      </c>
      <c r="T26" s="17">
        <f t="shared" si="48"/>
        <v>1.0595461170102018</v>
      </c>
      <c r="U26" s="17">
        <f t="shared" si="49"/>
        <v>1.3936738326715048</v>
      </c>
      <c r="V26" s="18">
        <f t="shared" si="50"/>
        <v>8775</v>
      </c>
      <c r="W26" s="8">
        <f>SUMIF('Full 1801-31 data set'!$E$4:$E$484,"Yes (part)",'Full 1801-31 data set'!AH$4:AH$484)</f>
        <v>32829</v>
      </c>
      <c r="X26" s="70">
        <f t="shared" si="51"/>
        <v>3.7411965811965811</v>
      </c>
      <c r="Y26" s="71">
        <f t="shared" si="52"/>
        <v>0.7955317291972519</v>
      </c>
    </row>
  </sheetData>
  <autoFilter ref="A1:Y1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Views>
    <sheetView topLeftCell="A14" workbookViewId="0">
      <selection activeCell="A38" sqref="A38"/>
    </sheetView>
  </sheetViews>
  <sheetFormatPr defaultRowHeight="12.75" x14ac:dyDescent="0.2"/>
  <cols>
    <col min="1" max="1" width="22.85546875" bestFit="1" customWidth="1"/>
    <col min="2" max="2" width="9.140625" customWidth="1"/>
    <col min="23" max="23" width="10.28515625" customWidth="1"/>
  </cols>
  <sheetData>
    <row r="1" spans="1:25" x14ac:dyDescent="0.2">
      <c r="A1" s="2" t="s">
        <v>547</v>
      </c>
      <c r="B1" s="19" t="s">
        <v>521</v>
      </c>
      <c r="C1" s="3" t="s">
        <v>443</v>
      </c>
      <c r="D1" s="3" t="s">
        <v>444</v>
      </c>
      <c r="E1" s="3" t="s">
        <v>445</v>
      </c>
      <c r="F1" s="3" t="s">
        <v>446</v>
      </c>
      <c r="G1" s="11" t="s">
        <v>603</v>
      </c>
      <c r="H1" s="3" t="s">
        <v>450</v>
      </c>
      <c r="I1" s="3" t="s">
        <v>451</v>
      </c>
      <c r="J1" s="3" t="s">
        <v>452</v>
      </c>
      <c r="K1" s="3" t="s">
        <v>453</v>
      </c>
      <c r="L1" s="3" t="s">
        <v>454</v>
      </c>
      <c r="M1" s="3" t="s">
        <v>455</v>
      </c>
      <c r="N1" s="19" t="s">
        <v>604</v>
      </c>
      <c r="O1" s="19" t="s">
        <v>605</v>
      </c>
      <c r="P1" s="19" t="s">
        <v>606</v>
      </c>
      <c r="Q1" s="19" t="s">
        <v>607</v>
      </c>
      <c r="R1" s="19" t="s">
        <v>608</v>
      </c>
      <c r="S1" s="19" t="s">
        <v>609</v>
      </c>
      <c r="T1" s="19" t="s">
        <v>610</v>
      </c>
      <c r="U1" s="19" t="s">
        <v>611</v>
      </c>
      <c r="V1" s="19" t="s">
        <v>612</v>
      </c>
      <c r="W1" s="19" t="s">
        <v>613</v>
      </c>
      <c r="X1" s="19" t="s">
        <v>614</v>
      </c>
      <c r="Y1" s="19" t="s">
        <v>615</v>
      </c>
    </row>
    <row r="2" spans="1:25" s="16" customFormat="1" x14ac:dyDescent="0.2">
      <c r="A2" s="4" t="s">
        <v>323</v>
      </c>
      <c r="B2" s="8">
        <f>SUMIF('Full 1801-31 data set'!$D$4:$D$484,1,'Full 1801-31 data set'!M$4:M$484)</f>
        <v>2051</v>
      </c>
      <c r="C2" s="8">
        <f>SUMIF('Full 1801-31 data set'!$D$4:$D$484,1,'Full 1801-31 data set'!N$4:N$484)</f>
        <v>2211</v>
      </c>
      <c r="D2" s="8">
        <f>SUMIF('Full 1801-31 data set'!$D$4:$D$484,1,'Full 1801-31 data set'!O$4:O$484)</f>
        <v>4031</v>
      </c>
      <c r="E2" s="8">
        <f>SUMIF('Full 1801-31 data set'!$D$4:$D$484,1,'Full 1801-31 data set'!P$4:P$484)</f>
        <v>2807</v>
      </c>
      <c r="F2" s="8">
        <f>SUMIF('Full 1801-31 data set'!$D$4:$D$484,1,'Full 1801-31 data set'!Q$4:Q$484)</f>
        <v>3730</v>
      </c>
      <c r="G2" s="8">
        <f>SUMIF('Full 1801-31 data set'!$D$4:$D$484,1,'Full 1801-31 data set'!R$4:R$484)</f>
        <v>10568</v>
      </c>
      <c r="H2" s="9">
        <f t="shared" ref="H2:H33" si="0">G2/C2</f>
        <v>4.7797376752600629</v>
      </c>
      <c r="I2" s="10">
        <f t="shared" ref="I2:I33" si="1">D2/G2</f>
        <v>0.38143451930355793</v>
      </c>
      <c r="J2" s="10">
        <f t="shared" ref="J2:J33" si="2">E2/G2</f>
        <v>0.26561317183951549</v>
      </c>
      <c r="K2" s="10">
        <f t="shared" ref="K2:K33" si="3">F2/G2</f>
        <v>0.35295230885692658</v>
      </c>
      <c r="L2" s="9">
        <f t="shared" ref="L2:L33" si="4">E2/D2</f>
        <v>0.69635326221781191</v>
      </c>
      <c r="M2" s="9">
        <f t="shared" ref="M2:M33" si="5">F2/(D2+E2)</f>
        <v>0.54548113483474703</v>
      </c>
      <c r="N2" s="65">
        <f t="shared" ref="N2:N33" si="6">G2/G$35</f>
        <v>3.0986931420009557E-2</v>
      </c>
      <c r="O2" s="8">
        <f>SUMIF('Full 1801-31 data set'!$D$4:$D$484,1,'Full 1801-31 data set'!Z$4:Z$484)</f>
        <v>11394</v>
      </c>
      <c r="P2" s="8">
        <f>SUMIF('Full 1801-31 data set'!$D$4:$D$484,1,'Full 1801-31 data set'!AA$4:AA$484)</f>
        <v>13282</v>
      </c>
      <c r="Q2" s="8">
        <f>SUMIF('Full 1801-31 data set'!$D$4:$D$484,1,'Full 1801-31 data set'!AB$4:AB$484)</f>
        <v>13939</v>
      </c>
      <c r="R2" s="17">
        <f t="shared" ref="R2:R33" si="7">O2/G2</f>
        <v>1.0781604844814534</v>
      </c>
      <c r="S2" s="17">
        <f t="shared" ref="S2:S33" si="8">P2/O2</f>
        <v>1.1657012462699667</v>
      </c>
      <c r="T2" s="17">
        <f t="shared" ref="T2:T33" si="9">Q2/P2</f>
        <v>1.0494654419515133</v>
      </c>
      <c r="U2" s="17">
        <f t="shared" ref="U2:U33" si="10">Q2/G2</f>
        <v>1.3189818319454958</v>
      </c>
      <c r="V2" s="18">
        <f t="shared" ref="V2:V33" si="11">0.6*O2+0.4*P2</f>
        <v>12149.2</v>
      </c>
      <c r="W2" s="73">
        <f>SUMIF('Full 1801-31 data set'!$D$4:$D$484,1,'Full 1801-31 data set'!AH$4:AH$484)</f>
        <v>70784</v>
      </c>
      <c r="X2" s="70">
        <f t="shared" ref="X2:X33" si="12">W2/V2</f>
        <v>5.8262272412998382</v>
      </c>
      <c r="Y2" s="17">
        <f t="shared" ref="Y2:Y33" si="13">X2/X$35</f>
        <v>1.2388947042405771</v>
      </c>
    </row>
    <row r="3" spans="1:25" x14ac:dyDescent="0.2">
      <c r="A3" s="4" t="s">
        <v>324</v>
      </c>
      <c r="B3" s="8">
        <f>SUMIF('Full 1801-31 data set'!$D$4:$D$484,2,'Full 1801-31 data set'!M$4:M$484)</f>
        <v>1043</v>
      </c>
      <c r="C3" s="8">
        <f>SUMIF('Full 1801-31 data set'!$D$4:$D$484,2,'Full 1801-31 data set'!N$4:N$484)</f>
        <v>1120</v>
      </c>
      <c r="D3" s="8">
        <f>SUMIF('Full 1801-31 data set'!$D$4:$D$484,2,'Full 1801-31 data set'!O$4:O$484)</f>
        <v>1703</v>
      </c>
      <c r="E3" s="8">
        <f>SUMIF('Full 1801-31 data set'!$D$4:$D$484,2,'Full 1801-31 data set'!P$4:P$484)</f>
        <v>1841</v>
      </c>
      <c r="F3" s="8">
        <f>SUMIF('Full 1801-31 data set'!$D$4:$D$484,2,'Full 1801-31 data set'!Q$4:Q$484)</f>
        <v>1663</v>
      </c>
      <c r="G3" s="8">
        <f>SUMIF('Full 1801-31 data set'!$D$4:$D$484,2,'Full 1801-31 data set'!R$4:R$484)</f>
        <v>5207</v>
      </c>
      <c r="H3" s="9">
        <f t="shared" si="0"/>
        <v>4.6491071428571429</v>
      </c>
      <c r="I3" s="10">
        <f t="shared" si="1"/>
        <v>0.32705972729018629</v>
      </c>
      <c r="J3" s="10">
        <f t="shared" si="2"/>
        <v>0.35356251200307276</v>
      </c>
      <c r="K3" s="10">
        <f t="shared" si="3"/>
        <v>0.3193777607067409</v>
      </c>
      <c r="L3" s="9">
        <f t="shared" si="4"/>
        <v>1.0810334703464475</v>
      </c>
      <c r="M3" s="9">
        <f t="shared" si="5"/>
        <v>0.46924379232505642</v>
      </c>
      <c r="N3" s="65">
        <f t="shared" si="6"/>
        <v>1.5267690376986163E-2</v>
      </c>
      <c r="O3" s="8">
        <f>SUMIF('Full 1801-31 data set'!$D$4:$D$484,2,'Full 1801-31 data set'!Z$4:Z$484)</f>
        <v>5496</v>
      </c>
      <c r="P3" s="8">
        <f>SUMIF('Full 1801-31 data set'!$D$4:$D$484,2,'Full 1801-31 data set'!AA$4:AA$484)</f>
        <v>6089</v>
      </c>
      <c r="Q3" s="8">
        <f>SUMIF('Full 1801-31 data set'!$D$4:$D$484,2,'Full 1801-31 data set'!AB$4:AB$484)</f>
        <v>6500</v>
      </c>
      <c r="R3" s="17">
        <f t="shared" si="7"/>
        <v>1.0555022085653927</v>
      </c>
      <c r="S3" s="17">
        <f t="shared" si="8"/>
        <v>1.1078966521106259</v>
      </c>
      <c r="T3" s="17">
        <f t="shared" si="9"/>
        <v>1.067498768270652</v>
      </c>
      <c r="U3" s="17">
        <f t="shared" si="10"/>
        <v>1.2483195698098712</v>
      </c>
      <c r="V3" s="18">
        <f t="shared" si="11"/>
        <v>5733.2</v>
      </c>
      <c r="W3" s="73">
        <f>SUMIF('Full 1801-31 data set'!$D$4:$D$484,2,'Full 1801-31 data set'!AH$4:AH$484)</f>
        <v>31102</v>
      </c>
      <c r="X3" s="70">
        <f t="shared" si="12"/>
        <v>5.4248936021767946</v>
      </c>
      <c r="Y3" s="17">
        <f t="shared" si="13"/>
        <v>1.1535547235720218</v>
      </c>
    </row>
    <row r="4" spans="1:25" x14ac:dyDescent="0.2">
      <c r="A4" s="4" t="s">
        <v>117</v>
      </c>
      <c r="B4" s="8">
        <f>SUMIF('Full 1801-31 data set'!$D$4:$D$484,3,'Full 1801-31 data set'!M$4:M$484)</f>
        <v>2336</v>
      </c>
      <c r="C4" s="8">
        <f>SUMIF('Full 1801-31 data set'!$D$4:$D$484,3,'Full 1801-31 data set'!N$4:N$484)</f>
        <v>2578</v>
      </c>
      <c r="D4" s="8">
        <f>SUMIF('Full 1801-31 data set'!$D$4:$D$484,3,'Full 1801-31 data set'!O$4:O$484)</f>
        <v>6994</v>
      </c>
      <c r="E4" s="8">
        <f>SUMIF('Full 1801-31 data set'!$D$4:$D$484,3,'Full 1801-31 data set'!P$4:P$484)</f>
        <v>1382</v>
      </c>
      <c r="F4" s="8">
        <f>SUMIF('Full 1801-31 data set'!$D$4:$D$484,3,'Full 1801-31 data set'!Q$4:Q$484)</f>
        <v>5052</v>
      </c>
      <c r="G4" s="8">
        <f>SUMIF('Full 1801-31 data set'!$D$4:$D$484,3,'Full 1801-31 data set'!R$4:R$484)</f>
        <v>13428</v>
      </c>
      <c r="H4" s="9">
        <f t="shared" si="0"/>
        <v>5.2086889061287822</v>
      </c>
      <c r="I4" s="10">
        <f t="shared" si="1"/>
        <v>0.52085195114685734</v>
      </c>
      <c r="J4" s="10">
        <f t="shared" si="2"/>
        <v>0.10291927316056003</v>
      </c>
      <c r="K4" s="10">
        <f t="shared" si="3"/>
        <v>0.37622877569258267</v>
      </c>
      <c r="L4" s="9">
        <f t="shared" si="4"/>
        <v>0.19759794109236489</v>
      </c>
      <c r="M4" s="9">
        <f t="shared" si="5"/>
        <v>0.6031518624641834</v>
      </c>
      <c r="N4" s="65">
        <f t="shared" si="6"/>
        <v>3.9372872360701021E-2</v>
      </c>
      <c r="O4" s="8">
        <f>SUMIF('Full 1801-31 data set'!$D$4:$D$484,3,'Full 1801-31 data set'!Z$4:Z$484)</f>
        <v>14935</v>
      </c>
      <c r="P4" s="8">
        <f>SUMIF('Full 1801-31 data set'!$D$4:$D$484,3,'Full 1801-31 data set'!AA$4:AA$484)</f>
        <v>17536</v>
      </c>
      <c r="Q4" s="8">
        <f>SUMIF('Full 1801-31 data set'!$D$4:$D$484,3,'Full 1801-31 data set'!AB$4:AB$484)</f>
        <v>19492</v>
      </c>
      <c r="R4" s="17">
        <f t="shared" si="7"/>
        <v>1.11222817992255</v>
      </c>
      <c r="S4" s="17">
        <f t="shared" si="8"/>
        <v>1.1741546702376966</v>
      </c>
      <c r="T4" s="17">
        <f t="shared" si="9"/>
        <v>1.1115419708029197</v>
      </c>
      <c r="U4" s="17">
        <f t="shared" si="10"/>
        <v>1.4515936848376527</v>
      </c>
      <c r="V4" s="18">
        <f t="shared" si="11"/>
        <v>15975.400000000001</v>
      </c>
      <c r="W4" s="73">
        <f>SUMIF('Full 1801-31 data set'!$D$4:$D$484,3,'Full 1801-31 data set'!AH$4:AH$484)</f>
        <v>63334</v>
      </c>
      <c r="X4" s="70">
        <f t="shared" si="12"/>
        <v>3.9644703731987927</v>
      </c>
      <c r="Y4" s="17">
        <f t="shared" si="13"/>
        <v>0.8430088884378758</v>
      </c>
    </row>
    <row r="5" spans="1:25" x14ac:dyDescent="0.2">
      <c r="A5" s="4" t="s">
        <v>325</v>
      </c>
      <c r="B5" s="8">
        <f>SUMIF('Full 1801-31 data set'!$D$4:$D$484,4,'Full 1801-31 data set'!M$4:M$484)</f>
        <v>2440</v>
      </c>
      <c r="C5" s="8">
        <f>SUMIF('Full 1801-31 data set'!$D$4:$D$484,4,'Full 1801-31 data set'!N$4:N$484)</f>
        <v>2799</v>
      </c>
      <c r="D5" s="8">
        <f>SUMIF('Full 1801-31 data set'!$D$4:$D$484,4,'Full 1801-31 data set'!O$4:O$484)</f>
        <v>3925</v>
      </c>
      <c r="E5" s="8">
        <f>SUMIF('Full 1801-31 data set'!$D$4:$D$484,4,'Full 1801-31 data set'!P$4:P$484)</f>
        <v>1515</v>
      </c>
      <c r="F5" s="8">
        <f>SUMIF('Full 1801-31 data set'!$D$4:$D$484,4,'Full 1801-31 data set'!Q$4:Q$484)</f>
        <v>7937</v>
      </c>
      <c r="G5" s="8">
        <f>SUMIF('Full 1801-31 data set'!$D$4:$D$484,4,'Full 1801-31 data set'!R$4:R$484)</f>
        <v>13377</v>
      </c>
      <c r="H5" s="9">
        <f t="shared" si="0"/>
        <v>4.779206859592712</v>
      </c>
      <c r="I5" s="10">
        <f t="shared" si="1"/>
        <v>0.29341406892427302</v>
      </c>
      <c r="J5" s="10">
        <f t="shared" si="2"/>
        <v>0.11325409284592958</v>
      </c>
      <c r="K5" s="10">
        <f t="shared" si="3"/>
        <v>0.5933318382297974</v>
      </c>
      <c r="L5" s="9">
        <f t="shared" si="4"/>
        <v>0.38598726114649684</v>
      </c>
      <c r="M5" s="9">
        <f t="shared" si="5"/>
        <v>1.4590073529411764</v>
      </c>
      <c r="N5" s="65">
        <f t="shared" si="6"/>
        <v>3.9223332854415961E-2</v>
      </c>
      <c r="O5" s="8">
        <f>SUMIF('Full 1801-31 data set'!$D$4:$D$484,4,'Full 1801-31 data set'!Z$4:Z$484)</f>
        <v>14287</v>
      </c>
      <c r="P5" s="8">
        <f>SUMIF('Full 1801-31 data set'!$D$4:$D$484,4,'Full 1801-31 data set'!AA$4:AA$484)</f>
        <v>17927</v>
      </c>
      <c r="Q5" s="8">
        <f>SUMIF('Full 1801-31 data set'!$D$4:$D$484,4,'Full 1801-31 data set'!AB$4:AB$484)</f>
        <v>21974</v>
      </c>
      <c r="R5" s="17">
        <f t="shared" si="7"/>
        <v>1.0680272108843538</v>
      </c>
      <c r="S5" s="17">
        <f t="shared" si="8"/>
        <v>1.2547770700636942</v>
      </c>
      <c r="T5" s="17">
        <f t="shared" si="9"/>
        <v>1.2257488704189212</v>
      </c>
      <c r="U5" s="17">
        <f t="shared" si="10"/>
        <v>1.6426702549151528</v>
      </c>
      <c r="V5" s="18">
        <f t="shared" si="11"/>
        <v>15743</v>
      </c>
      <c r="W5" s="73">
        <f>SUMIF('Full 1801-31 data set'!$D$4:$D$484,4,'Full 1801-31 data set'!AH$4:AH$484)</f>
        <v>68679</v>
      </c>
      <c r="X5" s="70">
        <f t="shared" si="12"/>
        <v>4.3625103220478945</v>
      </c>
      <c r="Y5" s="17">
        <f t="shared" si="13"/>
        <v>0.92764849555957207</v>
      </c>
    </row>
    <row r="6" spans="1:25" x14ac:dyDescent="0.2">
      <c r="A6" s="4" t="s">
        <v>326</v>
      </c>
      <c r="B6" s="8">
        <f>SUMIF('Full 1801-31 data set'!$D$4:$D$484,5,'Full 1801-31 data set'!M$4:M$484)</f>
        <v>581</v>
      </c>
      <c r="C6" s="8">
        <f>SUMIF('Full 1801-31 data set'!$D$4:$D$484,5,'Full 1801-31 data set'!N$4:N$484)</f>
        <v>604</v>
      </c>
      <c r="D6" s="8">
        <f>SUMIF('Full 1801-31 data set'!$D$4:$D$484,5,'Full 1801-31 data set'!O$4:O$484)</f>
        <v>1770</v>
      </c>
      <c r="E6" s="8">
        <f>SUMIF('Full 1801-31 data set'!$D$4:$D$484,5,'Full 1801-31 data set'!P$4:P$484)</f>
        <v>263</v>
      </c>
      <c r="F6" s="8">
        <f>SUMIF('Full 1801-31 data set'!$D$4:$D$484,5,'Full 1801-31 data set'!Q$4:Q$484)</f>
        <v>528</v>
      </c>
      <c r="G6" s="8">
        <f>SUMIF('Full 1801-31 data set'!$D$4:$D$484,5,'Full 1801-31 data set'!R$4:R$484)</f>
        <v>2561</v>
      </c>
      <c r="H6" s="9">
        <f t="shared" si="0"/>
        <v>4.2400662251655632</v>
      </c>
      <c r="I6" s="10">
        <f t="shared" si="1"/>
        <v>0.69113627489262008</v>
      </c>
      <c r="J6" s="10">
        <f t="shared" si="2"/>
        <v>0.10269426005466614</v>
      </c>
      <c r="K6" s="10">
        <f t="shared" si="3"/>
        <v>0.20616946505271377</v>
      </c>
      <c r="L6" s="9">
        <f t="shared" si="4"/>
        <v>0.14858757062146893</v>
      </c>
      <c r="M6" s="9">
        <f t="shared" si="5"/>
        <v>0.25971470732907032</v>
      </c>
      <c r="N6" s="65">
        <f t="shared" si="6"/>
        <v>7.5092289332555334E-3</v>
      </c>
      <c r="O6" s="8">
        <f>SUMIF('Full 1801-31 data set'!$D$4:$D$484,5,'Full 1801-31 data set'!Z$4:Z$484)</f>
        <v>2763</v>
      </c>
      <c r="P6" s="8">
        <f>SUMIF('Full 1801-31 data set'!$D$4:$D$484,5,'Full 1801-31 data set'!AA$4:AA$484)</f>
        <v>3032</v>
      </c>
      <c r="Q6" s="8">
        <f>SUMIF('Full 1801-31 data set'!$D$4:$D$484,5,'Full 1801-31 data set'!AB$4:AB$484)</f>
        <v>3482</v>
      </c>
      <c r="R6" s="17">
        <f t="shared" si="7"/>
        <v>1.0788754392815307</v>
      </c>
      <c r="S6" s="17">
        <f t="shared" si="8"/>
        <v>1.0973579442634818</v>
      </c>
      <c r="T6" s="17">
        <f t="shared" si="9"/>
        <v>1.1484168865435356</v>
      </c>
      <c r="U6" s="17">
        <f t="shared" si="10"/>
        <v>1.3596251464271769</v>
      </c>
      <c r="V6" s="18">
        <f t="shared" si="11"/>
        <v>2870.6</v>
      </c>
      <c r="W6" s="73">
        <f>SUMIF('Full 1801-31 data set'!$D$4:$D$484,5,'Full 1801-31 data set'!AH$4:AH$484)</f>
        <v>24098</v>
      </c>
      <c r="X6" s="70">
        <f t="shared" si="12"/>
        <v>8.3947606772103391</v>
      </c>
      <c r="Y6" s="17">
        <f t="shared" si="13"/>
        <v>1.7850701861815172</v>
      </c>
    </row>
    <row r="7" spans="1:25" x14ac:dyDescent="0.2">
      <c r="A7" s="4" t="s">
        <v>112</v>
      </c>
      <c r="B7" s="8">
        <f>SUMIF('Full 1801-31 data set'!$D$4:$D$484,6,'Full 1801-31 data set'!M$4:M$484)</f>
        <v>2552</v>
      </c>
      <c r="C7" s="8">
        <f>SUMIF('Full 1801-31 data set'!$D$4:$D$484,6,'Full 1801-31 data set'!N$4:N$484)</f>
        <v>3452</v>
      </c>
      <c r="D7" s="8">
        <f>SUMIF('Full 1801-31 data set'!$D$4:$D$484,6,'Full 1801-31 data set'!O$4:O$484)</f>
        <v>3511</v>
      </c>
      <c r="E7" s="8">
        <f>SUMIF('Full 1801-31 data set'!$D$4:$D$484,6,'Full 1801-31 data set'!P$4:P$484)</f>
        <v>3208</v>
      </c>
      <c r="F7" s="8">
        <f>SUMIF('Full 1801-31 data set'!$D$4:$D$484,6,'Full 1801-31 data set'!Q$4:Q$484)</f>
        <v>8555</v>
      </c>
      <c r="G7" s="8">
        <f>SUMIF('Full 1801-31 data set'!$D$4:$D$484,6,'Full 1801-31 data set'!R$4:R$484)</f>
        <v>15274</v>
      </c>
      <c r="H7" s="9">
        <f t="shared" si="0"/>
        <v>4.4246813441483202</v>
      </c>
      <c r="I7" s="10">
        <f t="shared" si="1"/>
        <v>0.22986774911614508</v>
      </c>
      <c r="J7" s="10">
        <f t="shared" si="2"/>
        <v>0.21003011653790757</v>
      </c>
      <c r="K7" s="10">
        <f t="shared" si="3"/>
        <v>0.56010213434594736</v>
      </c>
      <c r="L7" s="9">
        <f t="shared" si="4"/>
        <v>0.91369980062660205</v>
      </c>
      <c r="M7" s="9">
        <f t="shared" si="5"/>
        <v>1.2732549486530733</v>
      </c>
      <c r="N7" s="65">
        <f t="shared" si="6"/>
        <v>4.4785616058783687E-2</v>
      </c>
      <c r="O7" s="8">
        <f>SUMIF('Full 1801-31 data set'!$D$4:$D$484,6,'Full 1801-31 data set'!Z$4:Z$484)</f>
        <v>16529</v>
      </c>
      <c r="P7" s="8">
        <f>SUMIF('Full 1801-31 data set'!$D$4:$D$484,6,'Full 1801-31 data set'!AA$4:AA$484)</f>
        <v>19018</v>
      </c>
      <c r="Q7" s="8">
        <f>SUMIF('Full 1801-31 data set'!$D$4:$D$484,6,'Full 1801-31 data set'!AB$4:AB$484)</f>
        <v>20319</v>
      </c>
      <c r="R7" s="17">
        <f t="shared" si="7"/>
        <v>1.0821657718999607</v>
      </c>
      <c r="S7" s="17">
        <f t="shared" si="8"/>
        <v>1.1505838223727993</v>
      </c>
      <c r="T7" s="17">
        <f t="shared" si="9"/>
        <v>1.0684088758018719</v>
      </c>
      <c r="U7" s="17">
        <f t="shared" si="10"/>
        <v>1.3302998559643839</v>
      </c>
      <c r="V7" s="18">
        <f t="shared" si="11"/>
        <v>17524.599999999999</v>
      </c>
      <c r="W7" s="73">
        <f>SUMIF('Full 1801-31 data set'!$D$4:$D$484,6,'Full 1801-31 data set'!AH$4:AH$484)</f>
        <v>86633</v>
      </c>
      <c r="X7" s="70">
        <f t="shared" si="12"/>
        <v>4.9435079830638076</v>
      </c>
      <c r="Y7" s="17">
        <f t="shared" si="13"/>
        <v>1.0511924109610231</v>
      </c>
    </row>
    <row r="8" spans="1:25" x14ac:dyDescent="0.2">
      <c r="A8" s="5" t="s">
        <v>107</v>
      </c>
      <c r="B8" s="8">
        <f>SUMIF('Full 1801-31 data set'!$D$4:$D$484,7,'Full 1801-31 data set'!M$4:M$484)</f>
        <v>1036</v>
      </c>
      <c r="C8" s="8">
        <f>SUMIF('Full 1801-31 data set'!$D$4:$D$484,7,'Full 1801-31 data set'!N$4:N$484)</f>
        <v>1201</v>
      </c>
      <c r="D8" s="8">
        <f>SUMIF('Full 1801-31 data set'!$D$4:$D$484,7,'Full 1801-31 data set'!O$4:O$484)</f>
        <v>1455</v>
      </c>
      <c r="E8" s="8">
        <f>SUMIF('Full 1801-31 data set'!$D$4:$D$484,7,'Full 1801-31 data set'!P$4:P$484)</f>
        <v>480</v>
      </c>
      <c r="F8" s="8">
        <f>SUMIF('Full 1801-31 data set'!$D$4:$D$484,7,'Full 1801-31 data set'!Q$4:Q$484)</f>
        <v>3950</v>
      </c>
      <c r="G8" s="8">
        <f>SUMIF('Full 1801-31 data set'!$D$4:$D$484,7,'Full 1801-31 data set'!R$4:R$484)</f>
        <v>5885</v>
      </c>
      <c r="H8" s="9">
        <f t="shared" si="0"/>
        <v>4.9000832639467111</v>
      </c>
      <c r="I8" s="10">
        <f t="shared" si="1"/>
        <v>0.24723874256584538</v>
      </c>
      <c r="J8" s="10">
        <f t="shared" si="2"/>
        <v>8.1563296516567546E-2</v>
      </c>
      <c r="K8" s="10">
        <f t="shared" si="3"/>
        <v>0.6711979609175871</v>
      </c>
      <c r="L8" s="9">
        <f t="shared" si="4"/>
        <v>0.32989690721649484</v>
      </c>
      <c r="M8" s="9">
        <f t="shared" si="5"/>
        <v>2.0413436692506459</v>
      </c>
      <c r="N8" s="65">
        <f t="shared" si="6"/>
        <v>1.7255686166422809E-2</v>
      </c>
      <c r="O8" s="8">
        <f>SUMIF('Full 1801-31 data set'!$D$4:$D$484,7,'Full 1801-31 data set'!Z$4:Z$484)</f>
        <v>6088</v>
      </c>
      <c r="P8" s="8">
        <f>SUMIF('Full 1801-31 data set'!$D$4:$D$484,7,'Full 1801-31 data set'!AA$4:AA$484)</f>
        <v>6971</v>
      </c>
      <c r="Q8" s="8">
        <f>SUMIF('Full 1801-31 data set'!$D$4:$D$484,7,'Full 1801-31 data set'!AB$4:AB$484)</f>
        <v>7374</v>
      </c>
      <c r="R8" s="17">
        <f t="shared" si="7"/>
        <v>1.0344944774851317</v>
      </c>
      <c r="S8" s="17">
        <f t="shared" si="8"/>
        <v>1.1450394218134035</v>
      </c>
      <c r="T8" s="17">
        <f t="shared" si="9"/>
        <v>1.0578109309998565</v>
      </c>
      <c r="U8" s="17">
        <f t="shared" si="10"/>
        <v>1.2530161427357689</v>
      </c>
      <c r="V8" s="18">
        <f t="shared" si="11"/>
        <v>6441.2</v>
      </c>
      <c r="W8" s="73">
        <f>SUMIF('Full 1801-31 data set'!$D$4:$D$484,7,'Full 1801-31 data set'!AH$4:AH$484)</f>
        <v>42681</v>
      </c>
      <c r="X8" s="70">
        <f t="shared" si="12"/>
        <v>6.6262497671241389</v>
      </c>
      <c r="Y8" s="17">
        <f t="shared" si="13"/>
        <v>1.409012282815451</v>
      </c>
    </row>
    <row r="9" spans="1:25" x14ac:dyDescent="0.2">
      <c r="A9" s="5" t="s">
        <v>17</v>
      </c>
      <c r="B9" s="8">
        <f>SUMIF('Full 1801-31 data set'!$D$4:$D$484,8,'Full 1801-31 data set'!M$4:M$484)</f>
        <v>1993</v>
      </c>
      <c r="C9" s="8">
        <f>SUMIF('Full 1801-31 data set'!$D$4:$D$484,8,'Full 1801-31 data set'!N$4:N$484)</f>
        <v>2047</v>
      </c>
      <c r="D9" s="8">
        <f>SUMIF('Full 1801-31 data set'!$D$4:$D$484,8,'Full 1801-31 data set'!O$4:O$484)</f>
        <v>3289</v>
      </c>
      <c r="E9" s="8">
        <f>SUMIF('Full 1801-31 data set'!$D$4:$D$484,8,'Full 1801-31 data set'!P$4:P$484)</f>
        <v>4520</v>
      </c>
      <c r="F9" s="8">
        <f>SUMIF('Full 1801-31 data set'!$D$4:$D$484,8,'Full 1801-31 data set'!Q$4:Q$484)</f>
        <v>2283</v>
      </c>
      <c r="G9" s="8">
        <f>SUMIF('Full 1801-31 data set'!$D$4:$D$484,8,'Full 1801-31 data set'!R$4:R$484)</f>
        <v>10092</v>
      </c>
      <c r="H9" s="9">
        <f t="shared" si="0"/>
        <v>4.9301416707376653</v>
      </c>
      <c r="I9" s="10">
        <f t="shared" si="1"/>
        <v>0.32590170432025367</v>
      </c>
      <c r="J9" s="10">
        <f t="shared" si="2"/>
        <v>0.44787950852160124</v>
      </c>
      <c r="K9" s="10">
        <f t="shared" si="3"/>
        <v>0.22621878715814506</v>
      </c>
      <c r="L9" s="9">
        <f t="shared" si="4"/>
        <v>1.3742778960170265</v>
      </c>
      <c r="M9" s="9">
        <f t="shared" si="5"/>
        <v>0.29235497502881291</v>
      </c>
      <c r="N9" s="65">
        <f t="shared" si="6"/>
        <v>2.9591229361349024E-2</v>
      </c>
      <c r="O9" s="8">
        <f>SUMIF('Full 1801-31 data set'!$D$4:$D$484,8,'Full 1801-31 data set'!Z$4:Z$484)</f>
        <v>10648</v>
      </c>
      <c r="P9" s="8">
        <f>SUMIF('Full 1801-31 data set'!$D$4:$D$484,8,'Full 1801-31 data set'!AA$4:AA$484)</f>
        <v>11407</v>
      </c>
      <c r="Q9" s="8">
        <f>SUMIF('Full 1801-31 data set'!$D$4:$D$484,8,'Full 1801-31 data set'!AB$4:AB$484)</f>
        <v>12237</v>
      </c>
      <c r="R9" s="17">
        <f t="shared" si="7"/>
        <v>1.0550931430836306</v>
      </c>
      <c r="S9" s="17">
        <f t="shared" si="8"/>
        <v>1.0712809917355373</v>
      </c>
      <c r="T9" s="17">
        <f t="shared" si="9"/>
        <v>1.0727623389147014</v>
      </c>
      <c r="U9" s="17">
        <f t="shared" si="10"/>
        <v>1.2125445897740785</v>
      </c>
      <c r="V9" s="18">
        <f t="shared" si="11"/>
        <v>10951.6</v>
      </c>
      <c r="W9" s="73">
        <f>SUMIF('Full 1801-31 data set'!$D$4:$D$484,8,'Full 1801-31 data set'!AH$4:AH$484)</f>
        <v>43081</v>
      </c>
      <c r="X9" s="70">
        <f t="shared" si="12"/>
        <v>3.9337631031082214</v>
      </c>
      <c r="Y9" s="17">
        <f t="shared" si="13"/>
        <v>0.83647926425376895</v>
      </c>
    </row>
    <row r="10" spans="1:25" x14ac:dyDescent="0.2">
      <c r="A10" s="5" t="s">
        <v>120</v>
      </c>
      <c r="B10" s="8">
        <f>SUMIF('Full 1801-31 data set'!$D$4:$D$484,9,'Full 1801-31 data set'!M$4:M$484)</f>
        <v>2578</v>
      </c>
      <c r="C10" s="8">
        <f>SUMIF('Full 1801-31 data set'!$D$4:$D$484,9,'Full 1801-31 data set'!N$4:N$484)</f>
        <v>2794</v>
      </c>
      <c r="D10" s="8">
        <f>SUMIF('Full 1801-31 data set'!$D$4:$D$484,9,'Full 1801-31 data set'!O$4:O$484)</f>
        <v>4538</v>
      </c>
      <c r="E10" s="8">
        <f>SUMIF('Full 1801-31 data set'!$D$4:$D$484,9,'Full 1801-31 data set'!P$4:P$484)</f>
        <v>2431</v>
      </c>
      <c r="F10" s="8">
        <f>SUMIF('Full 1801-31 data set'!$D$4:$D$484,9,'Full 1801-31 data set'!Q$4:Q$484)</f>
        <v>6189</v>
      </c>
      <c r="G10" s="8">
        <f>SUMIF('Full 1801-31 data set'!$D$4:$D$484,9,'Full 1801-31 data set'!R$4:R$484)</f>
        <v>13158</v>
      </c>
      <c r="H10" s="9">
        <f t="shared" si="0"/>
        <v>4.7093772369362918</v>
      </c>
      <c r="I10" s="10">
        <f t="shared" si="1"/>
        <v>0.34488524091807266</v>
      </c>
      <c r="J10" s="10">
        <f t="shared" si="2"/>
        <v>0.1847545219638243</v>
      </c>
      <c r="K10" s="10">
        <f t="shared" si="3"/>
        <v>0.47036023711810304</v>
      </c>
      <c r="L10" s="9">
        <f t="shared" si="4"/>
        <v>0.53569854561480823</v>
      </c>
      <c r="M10" s="9">
        <f t="shared" si="5"/>
        <v>0.88807576409814892</v>
      </c>
      <c r="N10" s="65">
        <f t="shared" si="6"/>
        <v>3.858119262154483E-2</v>
      </c>
      <c r="O10" s="8">
        <f>SUMIF('Full 1801-31 data set'!$D$4:$D$484,9,'Full 1801-31 data set'!Z$4:Z$484)</f>
        <v>14701</v>
      </c>
      <c r="P10" s="8">
        <f>SUMIF('Full 1801-31 data set'!$D$4:$D$484,9,'Full 1801-31 data set'!AA$4:AA$484)</f>
        <v>18250</v>
      </c>
      <c r="Q10" s="8">
        <f>SUMIF('Full 1801-31 data set'!$D$4:$D$484,9,'Full 1801-31 data set'!AB$4:AB$484)</f>
        <v>20266</v>
      </c>
      <c r="R10" s="17">
        <f t="shared" si="7"/>
        <v>1.117267061863505</v>
      </c>
      <c r="S10" s="17">
        <f t="shared" si="8"/>
        <v>1.2414121488334127</v>
      </c>
      <c r="T10" s="17">
        <f t="shared" si="9"/>
        <v>1.1104657534246576</v>
      </c>
      <c r="U10" s="17">
        <f t="shared" si="10"/>
        <v>1.540203678370573</v>
      </c>
      <c r="V10" s="18">
        <f t="shared" si="11"/>
        <v>16120.6</v>
      </c>
      <c r="W10" s="73">
        <f>SUMIF('Full 1801-31 data set'!$D$4:$D$484,9,'Full 1801-31 data set'!AH$4:AH$484)</f>
        <v>92072</v>
      </c>
      <c r="X10" s="70">
        <f t="shared" si="12"/>
        <v>5.7114499460317854</v>
      </c>
      <c r="Y10" s="17">
        <f t="shared" si="13"/>
        <v>1.214488347024252</v>
      </c>
    </row>
    <row r="11" spans="1:25" x14ac:dyDescent="0.2">
      <c r="A11" s="5" t="s">
        <v>81</v>
      </c>
      <c r="B11" s="8">
        <f>SUMIF('Full 1801-31 data set'!$D$4:$D$484,10,'Full 1801-31 data set'!M$4:M$484)</f>
        <v>1339</v>
      </c>
      <c r="C11" s="8">
        <f>SUMIF('Full 1801-31 data set'!$D$4:$D$484,10,'Full 1801-31 data set'!N$4:N$484)</f>
        <v>1464</v>
      </c>
      <c r="D11" s="8">
        <f>SUMIF('Full 1801-31 data set'!$D$4:$D$484,10,'Full 1801-31 data set'!O$4:O$484)</f>
        <v>2492</v>
      </c>
      <c r="E11" s="8">
        <f>SUMIF('Full 1801-31 data set'!$D$4:$D$484,10,'Full 1801-31 data set'!P$4:P$484)</f>
        <v>1465</v>
      </c>
      <c r="F11" s="8">
        <f>SUMIF('Full 1801-31 data set'!$D$4:$D$484,10,'Full 1801-31 data set'!Q$4:Q$484)</f>
        <v>3914</v>
      </c>
      <c r="G11" s="8">
        <f>SUMIF('Full 1801-31 data set'!$D$4:$D$484,10,'Full 1801-31 data set'!R$4:R$484)</f>
        <v>7871</v>
      </c>
      <c r="H11" s="9">
        <f t="shared" si="0"/>
        <v>5.3763661202185791</v>
      </c>
      <c r="I11" s="10">
        <f t="shared" si="1"/>
        <v>0.31660525981450893</v>
      </c>
      <c r="J11" s="10">
        <f t="shared" si="2"/>
        <v>0.18612628636767883</v>
      </c>
      <c r="K11" s="10">
        <f t="shared" si="3"/>
        <v>0.49726845381781221</v>
      </c>
      <c r="L11" s="9">
        <f t="shared" si="4"/>
        <v>0.5878812199036918</v>
      </c>
      <c r="M11" s="9">
        <f t="shared" si="5"/>
        <v>0.98913318170331055</v>
      </c>
      <c r="N11" s="65">
        <f t="shared" si="6"/>
        <v>2.3078930469993871E-2</v>
      </c>
      <c r="O11" s="8">
        <f>SUMIF('Full 1801-31 data set'!$D$4:$D$484,10,'Full 1801-31 data set'!Z$4:Z$484)</f>
        <v>8671</v>
      </c>
      <c r="P11" s="8">
        <f>SUMIF('Full 1801-31 data set'!$D$4:$D$484,10,'Full 1801-31 data set'!AA$4:AA$484)</f>
        <v>10364</v>
      </c>
      <c r="Q11" s="8">
        <f>SUMIF('Full 1801-31 data set'!$D$4:$D$484,10,'Full 1801-31 data set'!AB$4:AB$484)</f>
        <v>10524</v>
      </c>
      <c r="R11" s="17">
        <f t="shared" si="7"/>
        <v>1.1016389277093126</v>
      </c>
      <c r="S11" s="17">
        <f t="shared" si="8"/>
        <v>1.1952485295813631</v>
      </c>
      <c r="T11" s="17">
        <f t="shared" si="9"/>
        <v>1.0154380548050945</v>
      </c>
      <c r="U11" s="17">
        <f t="shared" si="10"/>
        <v>1.3370600940160082</v>
      </c>
      <c r="V11" s="18">
        <f t="shared" si="11"/>
        <v>9348.2000000000007</v>
      </c>
      <c r="W11" s="73">
        <f>SUMIF('Full 1801-31 data set'!$D$4:$D$484,10,'Full 1801-31 data set'!AH$4:AH$484)</f>
        <v>65245</v>
      </c>
      <c r="X11" s="70">
        <f t="shared" si="12"/>
        <v>6.9794184976786973</v>
      </c>
      <c r="Y11" s="17">
        <f t="shared" si="13"/>
        <v>1.4841104298437489</v>
      </c>
    </row>
    <row r="12" spans="1:25" x14ac:dyDescent="0.2">
      <c r="A12" s="4" t="s">
        <v>35</v>
      </c>
      <c r="B12" s="8">
        <f>SUMIF('Full 1801-31 data set'!$D$4:$D$484,11,'Full 1801-31 data set'!M$4:M$484)</f>
        <v>2260</v>
      </c>
      <c r="C12" s="8">
        <f>SUMIF('Full 1801-31 data set'!$D$4:$D$484,11,'Full 1801-31 data set'!N$4:N$484)</f>
        <v>2564</v>
      </c>
      <c r="D12" s="8">
        <f>SUMIF('Full 1801-31 data set'!$D$4:$D$484,11,'Full 1801-31 data set'!O$4:O$484)</f>
        <v>2829</v>
      </c>
      <c r="E12" s="8">
        <f>SUMIF('Full 1801-31 data set'!$D$4:$D$484,11,'Full 1801-31 data set'!P$4:P$484)</f>
        <v>1221</v>
      </c>
      <c r="F12" s="8">
        <f>SUMIF('Full 1801-31 data set'!$D$4:$D$484,11,'Full 1801-31 data set'!Q$4:Q$484)</f>
        <v>7171</v>
      </c>
      <c r="G12" s="8">
        <f>SUMIF('Full 1801-31 data set'!$D$4:$D$484,11,'Full 1801-31 data set'!R$4:R$484)</f>
        <v>11221</v>
      </c>
      <c r="H12" s="9">
        <f t="shared" si="0"/>
        <v>4.3763650546021839</v>
      </c>
      <c r="I12" s="10">
        <f t="shared" si="1"/>
        <v>0.25211656715087782</v>
      </c>
      <c r="J12" s="10">
        <f t="shared" si="2"/>
        <v>0.10881383120933963</v>
      </c>
      <c r="K12" s="10">
        <f t="shared" si="3"/>
        <v>0.63906960163978255</v>
      </c>
      <c r="L12" s="9">
        <f t="shared" si="4"/>
        <v>0.43160127253446445</v>
      </c>
      <c r="M12" s="9">
        <f t="shared" si="5"/>
        <v>1.7706172839506173</v>
      </c>
      <c r="N12" s="65">
        <f t="shared" si="6"/>
        <v>3.2901623529894709E-2</v>
      </c>
      <c r="O12" s="8">
        <f>SUMIF('Full 1801-31 data set'!$D$4:$D$484,11,'Full 1801-31 data set'!Z$4:Z$484)</f>
        <v>13071</v>
      </c>
      <c r="P12" s="8">
        <f>SUMIF('Full 1801-31 data set'!$D$4:$D$484,11,'Full 1801-31 data set'!AA$4:AA$484)</f>
        <v>16023</v>
      </c>
      <c r="Q12" s="8">
        <f>SUMIF('Full 1801-31 data set'!$D$4:$D$484,11,'Full 1801-31 data set'!AB$4:AB$484)</f>
        <v>18232</v>
      </c>
      <c r="R12" s="17">
        <f t="shared" si="7"/>
        <v>1.1648694412262721</v>
      </c>
      <c r="S12" s="17">
        <f t="shared" si="8"/>
        <v>1.2258434702777141</v>
      </c>
      <c r="T12" s="17">
        <f t="shared" si="9"/>
        <v>1.1378643200399425</v>
      </c>
      <c r="U12" s="17">
        <f t="shared" si="10"/>
        <v>1.6248106229391319</v>
      </c>
      <c r="V12" s="18">
        <f t="shared" si="11"/>
        <v>14251.8</v>
      </c>
      <c r="W12" s="73">
        <f>SUMIF('Full 1801-31 data set'!$D$4:$D$484,11,'Full 1801-31 data set'!AH$4:AH$484)</f>
        <v>72016</v>
      </c>
      <c r="X12" s="70">
        <f t="shared" si="12"/>
        <v>5.0531160976157397</v>
      </c>
      <c r="Y12" s="17">
        <f t="shared" si="13"/>
        <v>1.0744995884939557</v>
      </c>
    </row>
    <row r="13" spans="1:25" x14ac:dyDescent="0.2">
      <c r="A13" s="4" t="s">
        <v>327</v>
      </c>
      <c r="B13" s="8">
        <f>SUMIF('Full 1801-31 data set'!$D$4:$D$484,12,'Full 1801-31 data set'!M$4:M$484)</f>
        <v>1143</v>
      </c>
      <c r="C13" s="8">
        <f>SUMIF('Full 1801-31 data set'!$D$4:$D$484,12,'Full 1801-31 data set'!N$4:N$484)</f>
        <v>1283</v>
      </c>
      <c r="D13" s="8">
        <f>SUMIF('Full 1801-31 data set'!$D$4:$D$484,12,'Full 1801-31 data set'!O$4:O$484)</f>
        <v>2242</v>
      </c>
      <c r="E13" s="8">
        <f>SUMIF('Full 1801-31 data set'!$D$4:$D$484,12,'Full 1801-31 data set'!P$4:P$484)</f>
        <v>564</v>
      </c>
      <c r="F13" s="8">
        <f>SUMIF('Full 1801-31 data set'!$D$4:$D$484,12,'Full 1801-31 data set'!Q$4:Q$484)</f>
        <v>3686</v>
      </c>
      <c r="G13" s="8">
        <f>SUMIF('Full 1801-31 data set'!$D$4:$D$484,12,'Full 1801-31 data set'!R$4:R$484)</f>
        <v>6492</v>
      </c>
      <c r="H13" s="9">
        <f t="shared" si="0"/>
        <v>5.0600155884645366</v>
      </c>
      <c r="I13" s="10">
        <f t="shared" si="1"/>
        <v>0.34534812076401727</v>
      </c>
      <c r="J13" s="10">
        <f t="shared" si="2"/>
        <v>8.6876155268022184E-2</v>
      </c>
      <c r="K13" s="10">
        <f t="shared" si="3"/>
        <v>0.56777572396796061</v>
      </c>
      <c r="L13" s="9">
        <f t="shared" si="4"/>
        <v>0.25156110615521854</v>
      </c>
      <c r="M13" s="9">
        <f t="shared" si="5"/>
        <v>1.3136136849607982</v>
      </c>
      <c r="N13" s="65">
        <f t="shared" si="6"/>
        <v>1.9035499505933199E-2</v>
      </c>
      <c r="O13" s="8">
        <f>SUMIF('Full 1801-31 data set'!$D$4:$D$484,12,'Full 1801-31 data set'!Z$4:Z$484)</f>
        <v>6587</v>
      </c>
      <c r="P13" s="8">
        <f>SUMIF('Full 1801-31 data set'!$D$4:$D$484,12,'Full 1801-31 data set'!AA$4:AA$484)</f>
        <v>7841</v>
      </c>
      <c r="Q13" s="8">
        <f>SUMIF('Full 1801-31 data set'!$D$4:$D$484,12,'Full 1801-31 data set'!AB$4:AB$484)</f>
        <v>8844</v>
      </c>
      <c r="R13" s="17">
        <f t="shared" si="7"/>
        <v>1.0146333949476278</v>
      </c>
      <c r="S13" s="17">
        <f t="shared" si="8"/>
        <v>1.1903749810232276</v>
      </c>
      <c r="T13" s="17">
        <f t="shared" si="9"/>
        <v>1.1279173574799133</v>
      </c>
      <c r="U13" s="17">
        <f t="shared" si="10"/>
        <v>1.3622920517560073</v>
      </c>
      <c r="V13" s="18">
        <f t="shared" si="11"/>
        <v>7088.6</v>
      </c>
      <c r="W13" s="73">
        <f>SUMIF('Full 1801-31 data set'!$D$4:$D$484,12,'Full 1801-31 data set'!AH$4:AH$484)</f>
        <v>26714</v>
      </c>
      <c r="X13" s="70">
        <f t="shared" si="12"/>
        <v>3.7685861806280503</v>
      </c>
      <c r="Y13" s="17">
        <f t="shared" si="13"/>
        <v>0.80135588062175911</v>
      </c>
    </row>
    <row r="14" spans="1:25" x14ac:dyDescent="0.2">
      <c r="A14" s="4" t="s">
        <v>328</v>
      </c>
      <c r="B14" s="8">
        <f>SUMIF('Full 1801-31 data set'!$D$4:$D$484,13,'Full 1801-31 data set'!M$4:M$484)</f>
        <v>558</v>
      </c>
      <c r="C14" s="8">
        <f>SUMIF('Full 1801-31 data set'!$D$4:$D$484,13,'Full 1801-31 data set'!N$4:N$484)</f>
        <v>634</v>
      </c>
      <c r="D14" s="8">
        <f>SUMIF('Full 1801-31 data set'!$D$4:$D$484,13,'Full 1801-31 data set'!O$4:O$484)</f>
        <v>1505</v>
      </c>
      <c r="E14" s="8">
        <f>SUMIF('Full 1801-31 data set'!$D$4:$D$484,13,'Full 1801-31 data set'!P$4:P$484)</f>
        <v>621</v>
      </c>
      <c r="F14" s="8">
        <f>SUMIF('Full 1801-31 data set'!$D$4:$D$484,13,'Full 1801-31 data set'!Q$4:Q$484)</f>
        <v>933</v>
      </c>
      <c r="G14" s="8">
        <f>SUMIF('Full 1801-31 data set'!$D$4:$D$484,13,'Full 1801-31 data set'!R$4:R$484)</f>
        <v>3059</v>
      </c>
      <c r="H14" s="9">
        <f t="shared" si="0"/>
        <v>4.8249211356466875</v>
      </c>
      <c r="I14" s="10">
        <f t="shared" si="1"/>
        <v>0.49199084668192222</v>
      </c>
      <c r="J14" s="10">
        <f t="shared" si="2"/>
        <v>0.20300751879699247</v>
      </c>
      <c r="K14" s="10">
        <f t="shared" si="3"/>
        <v>0.30500163452108531</v>
      </c>
      <c r="L14" s="9">
        <f t="shared" si="4"/>
        <v>0.41262458471760799</v>
      </c>
      <c r="M14" s="9">
        <f t="shared" si="5"/>
        <v>0.43885230479774223</v>
      </c>
      <c r="N14" s="65">
        <f t="shared" si="6"/>
        <v>8.9694382299213889E-3</v>
      </c>
      <c r="O14" s="8">
        <f>SUMIF('Full 1801-31 data set'!$D$4:$D$484,13,'Full 1801-31 data set'!Z$4:Z$484)</f>
        <v>3247</v>
      </c>
      <c r="P14" s="8">
        <f>SUMIF('Full 1801-31 data set'!$D$4:$D$484,13,'Full 1801-31 data set'!AA$4:AA$484)</f>
        <v>3375</v>
      </c>
      <c r="Q14" s="8">
        <f>SUMIF('Full 1801-31 data set'!$D$4:$D$484,13,'Full 1801-31 data set'!AB$4:AB$484)</f>
        <v>3473</v>
      </c>
      <c r="R14" s="17">
        <f t="shared" si="7"/>
        <v>1.0614579928081072</v>
      </c>
      <c r="S14" s="17">
        <f t="shared" si="8"/>
        <v>1.0394210040036957</v>
      </c>
      <c r="T14" s="17">
        <f t="shared" si="9"/>
        <v>1.029037037037037</v>
      </c>
      <c r="U14" s="17">
        <f t="shared" si="10"/>
        <v>1.1353383458646618</v>
      </c>
      <c r="V14" s="18">
        <f t="shared" si="11"/>
        <v>3298.2</v>
      </c>
      <c r="W14" s="73">
        <f>SUMIF('Full 1801-31 data set'!$D$4:$D$484,13,'Full 1801-31 data set'!AH$4:AH$484)</f>
        <v>18610</v>
      </c>
      <c r="X14" s="70">
        <f t="shared" si="12"/>
        <v>5.642471651203687</v>
      </c>
      <c r="Y14" s="17">
        <f t="shared" si="13"/>
        <v>1.1998207344113581</v>
      </c>
    </row>
    <row r="15" spans="1:25" x14ac:dyDescent="0.2">
      <c r="A15" s="5" t="s">
        <v>30</v>
      </c>
      <c r="B15" s="8">
        <f>SUMIF('Full 1801-31 data set'!$D$4:$D$484,14,'Full 1801-31 data set'!M$4:M$484)</f>
        <v>617</v>
      </c>
      <c r="C15" s="8">
        <f>SUMIF('Full 1801-31 data set'!$D$4:$D$484,14,'Full 1801-31 data set'!N$4:N$484)</f>
        <v>663</v>
      </c>
      <c r="D15" s="8">
        <f>SUMIF('Full 1801-31 data set'!$D$4:$D$484,14,'Full 1801-31 data set'!O$4:O$484)</f>
        <v>1325</v>
      </c>
      <c r="E15" s="8">
        <f>SUMIF('Full 1801-31 data set'!$D$4:$D$484,14,'Full 1801-31 data set'!P$4:P$484)</f>
        <v>285</v>
      </c>
      <c r="F15" s="8">
        <f>SUMIF('Full 1801-31 data set'!$D$4:$D$484,14,'Full 1801-31 data set'!Q$4:Q$484)</f>
        <v>1819</v>
      </c>
      <c r="G15" s="8">
        <f>SUMIF('Full 1801-31 data set'!$D$4:$D$484,14,'Full 1801-31 data set'!R$4:R$484)</f>
        <v>3429</v>
      </c>
      <c r="H15" s="9">
        <f t="shared" si="0"/>
        <v>5.1719457013574663</v>
      </c>
      <c r="I15" s="10">
        <f t="shared" si="1"/>
        <v>0.3864100320793234</v>
      </c>
      <c r="J15" s="10">
        <f t="shared" si="2"/>
        <v>8.3114610673665795E-2</v>
      </c>
      <c r="K15" s="10">
        <f t="shared" si="3"/>
        <v>0.53047535724701078</v>
      </c>
      <c r="L15" s="9">
        <f t="shared" si="4"/>
        <v>0.21509433962264152</v>
      </c>
      <c r="M15" s="9">
        <f t="shared" si="5"/>
        <v>1.1298136645962733</v>
      </c>
      <c r="N15" s="65">
        <f t="shared" si="6"/>
        <v>1.0054332687283571E-2</v>
      </c>
      <c r="O15" s="8">
        <f>SUMIF('Full 1801-31 data set'!$D$4:$D$484,14,'Full 1801-31 data set'!Z$4:Z$484)</f>
        <v>3970</v>
      </c>
      <c r="P15" s="8">
        <f>SUMIF('Full 1801-31 data set'!$D$4:$D$484,14,'Full 1801-31 data set'!AA$4:AA$484)</f>
        <v>4373</v>
      </c>
      <c r="Q15" s="8">
        <f>SUMIF('Full 1801-31 data set'!$D$4:$D$484,14,'Full 1801-31 data set'!AB$4:AB$484)</f>
        <v>4646</v>
      </c>
      <c r="R15" s="17">
        <f t="shared" si="7"/>
        <v>1.15777194517352</v>
      </c>
      <c r="S15" s="17">
        <f t="shared" si="8"/>
        <v>1.1015113350125945</v>
      </c>
      <c r="T15" s="17">
        <f t="shared" si="9"/>
        <v>1.0624285387605763</v>
      </c>
      <c r="U15" s="17">
        <f t="shared" si="10"/>
        <v>1.3549139690871974</v>
      </c>
      <c r="V15" s="18">
        <f t="shared" si="11"/>
        <v>4131.2</v>
      </c>
      <c r="W15" s="73">
        <f>SUMIF('Full 1801-31 data set'!$D$4:$D$484,14,'Full 1801-31 data set'!AH$4:AH$484)</f>
        <v>16927</v>
      </c>
      <c r="X15" s="70">
        <f t="shared" si="12"/>
        <v>4.0973567002323783</v>
      </c>
      <c r="Y15" s="17">
        <f t="shared" si="13"/>
        <v>0.87126596802119138</v>
      </c>
    </row>
    <row r="16" spans="1:25" x14ac:dyDescent="0.2">
      <c r="A16" s="5" t="s">
        <v>122</v>
      </c>
      <c r="B16" s="8">
        <f>SUMIF('Full 1801-31 data set'!$D$4:$D$484,15,'Full 1801-31 data set'!M$4:M$484)</f>
        <v>2120</v>
      </c>
      <c r="C16" s="8">
        <f>SUMIF('Full 1801-31 data set'!$D$4:$D$484,15,'Full 1801-31 data set'!N$4:N$484)</f>
        <v>2375</v>
      </c>
      <c r="D16" s="8">
        <f>SUMIF('Full 1801-31 data set'!$D$4:$D$484,15,'Full 1801-31 data set'!O$4:O$484)</f>
        <v>3126</v>
      </c>
      <c r="E16" s="8">
        <f>SUMIF('Full 1801-31 data set'!$D$4:$D$484,15,'Full 1801-31 data set'!P$4:P$484)</f>
        <v>2349</v>
      </c>
      <c r="F16" s="8">
        <f>SUMIF('Full 1801-31 data set'!$D$4:$D$484,15,'Full 1801-31 data set'!Q$4:Q$484)</f>
        <v>5553</v>
      </c>
      <c r="G16" s="8">
        <f>SUMIF('Full 1801-31 data set'!$D$4:$D$484,15,'Full 1801-31 data set'!R$4:R$484)</f>
        <v>11028</v>
      </c>
      <c r="H16" s="9">
        <f t="shared" si="0"/>
        <v>4.6433684210526316</v>
      </c>
      <c r="I16" s="10">
        <f t="shared" si="1"/>
        <v>0.28346028291621328</v>
      </c>
      <c r="J16" s="10">
        <f t="shared" si="2"/>
        <v>0.21300326441784548</v>
      </c>
      <c r="K16" s="10">
        <f t="shared" si="3"/>
        <v>0.50353645266594127</v>
      </c>
      <c r="L16" s="9">
        <f t="shared" si="4"/>
        <v>0.75143953934740881</v>
      </c>
      <c r="M16" s="9">
        <f t="shared" si="5"/>
        <v>1.0142465753424657</v>
      </c>
      <c r="N16" s="65">
        <f t="shared" si="6"/>
        <v>3.2335719123757135E-2</v>
      </c>
      <c r="O16" s="8">
        <f>SUMIF('Full 1801-31 data set'!$D$4:$D$484,15,'Full 1801-31 data set'!Z$4:Z$484)</f>
        <v>10847</v>
      </c>
      <c r="P16" s="8">
        <f>SUMIF('Full 1801-31 data set'!$D$4:$D$484,15,'Full 1801-31 data set'!AA$4:AA$484)</f>
        <v>12315</v>
      </c>
      <c r="Q16" s="8">
        <f>SUMIF('Full 1801-31 data set'!$D$4:$D$484,15,'Full 1801-31 data set'!AB$4:AB$484)</f>
        <v>13444</v>
      </c>
      <c r="R16" s="17">
        <f t="shared" si="7"/>
        <v>0.98358723249909319</v>
      </c>
      <c r="S16" s="17">
        <f t="shared" si="8"/>
        <v>1.1353369595279801</v>
      </c>
      <c r="T16" s="17">
        <f t="shared" si="9"/>
        <v>1.0916768168899715</v>
      </c>
      <c r="U16" s="17">
        <f t="shared" si="10"/>
        <v>1.2190787087413855</v>
      </c>
      <c r="V16" s="18">
        <f t="shared" si="11"/>
        <v>11434.2</v>
      </c>
      <c r="W16" s="73">
        <f>SUMIF('Full 1801-31 data set'!$D$4:$D$484,15,'Full 1801-31 data set'!AH$4:AH$484)</f>
        <v>66296</v>
      </c>
      <c r="X16" s="70">
        <f t="shared" si="12"/>
        <v>5.7980444631019221</v>
      </c>
      <c r="Y16" s="17">
        <f t="shared" si="13"/>
        <v>1.2329018905012359</v>
      </c>
    </row>
    <row r="17" spans="1:25" x14ac:dyDescent="0.2">
      <c r="A17" s="5" t="s">
        <v>113</v>
      </c>
      <c r="B17" s="8">
        <f>SUMIF('Full 1801-31 data set'!$D$4:$D$484,16,'Full 1801-31 data set'!M$4:M$484)</f>
        <v>2978</v>
      </c>
      <c r="C17" s="8">
        <f>SUMIF('Full 1801-31 data set'!$D$4:$D$484,16,'Full 1801-31 data set'!N$4:N$484)</f>
        <v>3699</v>
      </c>
      <c r="D17" s="8">
        <f>SUMIF('Full 1801-31 data set'!$D$4:$D$484,16,'Full 1801-31 data set'!O$4:O$484)</f>
        <v>4703</v>
      </c>
      <c r="E17" s="8">
        <f>SUMIF('Full 1801-31 data set'!$D$4:$D$484,16,'Full 1801-31 data set'!P$4:P$484)</f>
        <v>2825</v>
      </c>
      <c r="F17" s="8">
        <f>SUMIF('Full 1801-31 data set'!$D$4:$D$484,16,'Full 1801-31 data set'!Q$4:Q$484)</f>
        <v>10194</v>
      </c>
      <c r="G17" s="8">
        <f>SUMIF('Full 1801-31 data set'!$D$4:$D$484,16,'Full 1801-31 data set'!R$4:R$484)</f>
        <v>17722</v>
      </c>
      <c r="H17" s="9">
        <f t="shared" si="0"/>
        <v>4.7910246012435795</v>
      </c>
      <c r="I17" s="10">
        <f t="shared" si="1"/>
        <v>0.26537636835571604</v>
      </c>
      <c r="J17" s="10">
        <f t="shared" si="2"/>
        <v>0.15940638754090961</v>
      </c>
      <c r="K17" s="10">
        <f t="shared" si="3"/>
        <v>0.57521724410337438</v>
      </c>
      <c r="L17" s="9">
        <f t="shared" si="4"/>
        <v>0.60068041675526263</v>
      </c>
      <c r="M17" s="9">
        <f t="shared" si="5"/>
        <v>1.354144527098831</v>
      </c>
      <c r="N17" s="65">
        <f t="shared" si="6"/>
        <v>5.1963512360466445E-2</v>
      </c>
      <c r="O17" s="8">
        <f>SUMIF('Full 1801-31 data set'!$D$4:$D$484,16,'Full 1801-31 data set'!Z$4:Z$484)</f>
        <v>19406</v>
      </c>
      <c r="P17" s="8">
        <f>SUMIF('Full 1801-31 data set'!$D$4:$D$484,16,'Full 1801-31 data set'!AA$4:AA$484)</f>
        <v>21032</v>
      </c>
      <c r="Q17" s="8">
        <f>SUMIF('Full 1801-31 data set'!$D$4:$D$484,16,'Full 1801-31 data set'!AB$4:AB$484)</f>
        <v>24143</v>
      </c>
      <c r="R17" s="17">
        <f t="shared" si="7"/>
        <v>1.0950231350863333</v>
      </c>
      <c r="S17" s="17">
        <f t="shared" si="8"/>
        <v>1.0837885190147376</v>
      </c>
      <c r="T17" s="17">
        <f t="shared" si="9"/>
        <v>1.1479174591099277</v>
      </c>
      <c r="U17" s="17">
        <f t="shared" si="10"/>
        <v>1.3623180227965241</v>
      </c>
      <c r="V17" s="18">
        <f t="shared" si="11"/>
        <v>20056.400000000001</v>
      </c>
      <c r="W17" s="73">
        <f>SUMIF('Full 1801-31 data set'!$D$4:$D$484,16,'Full 1801-31 data set'!AH$4:AH$484)</f>
        <v>95695</v>
      </c>
      <c r="X17" s="70">
        <f t="shared" si="12"/>
        <v>4.7712949482459459</v>
      </c>
      <c r="Y17" s="17">
        <f t="shared" si="13"/>
        <v>1.0145728614651393</v>
      </c>
    </row>
    <row r="18" spans="1:25" x14ac:dyDescent="0.2">
      <c r="A18" s="5" t="s">
        <v>114</v>
      </c>
      <c r="B18" s="8">
        <f>SUMIF('Full 1801-31 data set'!$D$4:$D$484,17,'Full 1801-31 data set'!M$4:M$484)</f>
        <v>932</v>
      </c>
      <c r="C18" s="8">
        <f>SUMIF('Full 1801-31 data set'!$D$4:$D$484,17,'Full 1801-31 data set'!N$4:N$484)</f>
        <v>1133</v>
      </c>
      <c r="D18" s="8">
        <f>SUMIF('Full 1801-31 data set'!$D$4:$D$484,17,'Full 1801-31 data set'!O$4:O$484)</f>
        <v>1387</v>
      </c>
      <c r="E18" s="8">
        <f>SUMIF('Full 1801-31 data set'!$D$4:$D$484,17,'Full 1801-31 data set'!P$4:P$484)</f>
        <v>1608</v>
      </c>
      <c r="F18" s="8">
        <f>SUMIF('Full 1801-31 data set'!$D$4:$D$484,17,'Full 1801-31 data set'!Q$4:Q$484)</f>
        <v>2040</v>
      </c>
      <c r="G18" s="8">
        <f>SUMIF('Full 1801-31 data set'!$D$4:$D$484,17,'Full 1801-31 data set'!R$4:R$484)</f>
        <v>5035</v>
      </c>
      <c r="H18" s="9">
        <f t="shared" si="0"/>
        <v>4.4439541041482791</v>
      </c>
      <c r="I18" s="10">
        <f t="shared" si="1"/>
        <v>0.27547169811320754</v>
      </c>
      <c r="J18" s="10">
        <f t="shared" si="2"/>
        <v>0.31936444885799403</v>
      </c>
      <c r="K18" s="10">
        <f t="shared" si="3"/>
        <v>0.40516385302879843</v>
      </c>
      <c r="L18" s="9">
        <f t="shared" si="4"/>
        <v>1.1593366979091564</v>
      </c>
      <c r="M18" s="9">
        <f t="shared" si="5"/>
        <v>0.6811352253756261</v>
      </c>
      <c r="N18" s="65">
        <f t="shared" si="6"/>
        <v>1.4763361061671853E-2</v>
      </c>
      <c r="O18" s="8">
        <f>SUMIF('Full 1801-31 data set'!$D$4:$D$484,17,'Full 1801-31 data set'!Z$4:Z$484)</f>
        <v>4817</v>
      </c>
      <c r="P18" s="8">
        <f>SUMIF('Full 1801-31 data set'!$D$4:$D$484,17,'Full 1801-31 data set'!AA$4:AA$484)</f>
        <v>5469</v>
      </c>
      <c r="Q18" s="8">
        <f>SUMIF('Full 1801-31 data set'!$D$4:$D$484,17,'Full 1801-31 data set'!AB$4:AB$484)</f>
        <v>5807</v>
      </c>
      <c r="R18" s="17">
        <f t="shared" si="7"/>
        <v>0.95670307845084412</v>
      </c>
      <c r="S18" s="17">
        <f t="shared" si="8"/>
        <v>1.1353539547436164</v>
      </c>
      <c r="T18" s="17">
        <f t="shared" si="9"/>
        <v>1.061802889010788</v>
      </c>
      <c r="U18" s="17">
        <f t="shared" si="10"/>
        <v>1.1533267130089375</v>
      </c>
      <c r="V18" s="18">
        <f t="shared" si="11"/>
        <v>5077.7999999999993</v>
      </c>
      <c r="W18" s="73">
        <f>SUMIF('Full 1801-31 data set'!$D$4:$D$484,17,'Full 1801-31 data set'!AH$4:AH$484)</f>
        <v>25696</v>
      </c>
      <c r="X18" s="70">
        <f t="shared" si="12"/>
        <v>5.0604592540076414</v>
      </c>
      <c r="Y18" s="17">
        <f t="shared" si="13"/>
        <v>1.0760610445082095</v>
      </c>
    </row>
    <row r="19" spans="1:25" x14ac:dyDescent="0.2">
      <c r="A19" s="5" t="s">
        <v>121</v>
      </c>
      <c r="B19" s="8">
        <f>SUMIF('Full 1801-31 data set'!$D$4:$D$484,18,'Full 1801-31 data set'!M$4:M$484)</f>
        <v>1350</v>
      </c>
      <c r="C19" s="8">
        <f>SUMIF('Full 1801-31 data set'!$D$4:$D$484,18,'Full 1801-31 data set'!N$4:N$484)</f>
        <v>1580</v>
      </c>
      <c r="D19" s="8">
        <f>SUMIF('Full 1801-31 data set'!$D$4:$D$484,18,'Full 1801-31 data set'!O$4:O$484)</f>
        <v>2788</v>
      </c>
      <c r="E19" s="8">
        <f>SUMIF('Full 1801-31 data set'!$D$4:$D$484,18,'Full 1801-31 data set'!P$4:P$484)</f>
        <v>507</v>
      </c>
      <c r="F19" s="8">
        <f>SUMIF('Full 1801-31 data set'!$D$4:$D$484,18,'Full 1801-31 data set'!Q$4:Q$484)</f>
        <v>4658</v>
      </c>
      <c r="G19" s="8">
        <f>SUMIF('Full 1801-31 data set'!$D$4:$D$484,18,'Full 1801-31 data set'!R$4:R$484)</f>
        <v>7953</v>
      </c>
      <c r="H19" s="9">
        <f t="shared" si="0"/>
        <v>5.0335443037974681</v>
      </c>
      <c r="I19" s="10">
        <f t="shared" si="1"/>
        <v>0.350559537281529</v>
      </c>
      <c r="J19" s="10">
        <f t="shared" si="2"/>
        <v>6.3749528479818934E-2</v>
      </c>
      <c r="K19" s="10">
        <f t="shared" si="3"/>
        <v>0.58569093423865204</v>
      </c>
      <c r="L19" s="9">
        <f t="shared" si="4"/>
        <v>0.18185078909612626</v>
      </c>
      <c r="M19" s="9">
        <f t="shared" si="5"/>
        <v>1.4136570561456752</v>
      </c>
      <c r="N19" s="65">
        <f t="shared" si="6"/>
        <v>2.3319366538922789E-2</v>
      </c>
      <c r="O19" s="8">
        <f>SUMIF('Full 1801-31 data set'!$D$4:$D$484,18,'Full 1801-31 data set'!Z$4:Z$484)</f>
        <v>9742</v>
      </c>
      <c r="P19" s="8">
        <f>SUMIF('Full 1801-31 data set'!$D$4:$D$484,18,'Full 1801-31 data set'!AA$4:AA$484)</f>
        <v>11715</v>
      </c>
      <c r="Q19" s="8">
        <f>SUMIF('Full 1801-31 data set'!$D$4:$D$484,18,'Full 1801-31 data set'!AB$4:AB$484)</f>
        <v>13447</v>
      </c>
      <c r="R19" s="17">
        <f t="shared" si="7"/>
        <v>1.2249465610461461</v>
      </c>
      <c r="S19" s="17">
        <f t="shared" si="8"/>
        <v>1.2025251488400739</v>
      </c>
      <c r="T19" s="17">
        <f t="shared" si="9"/>
        <v>1.1478446436192915</v>
      </c>
      <c r="U19" s="17">
        <f t="shared" si="10"/>
        <v>1.6908084999371307</v>
      </c>
      <c r="V19" s="18">
        <f t="shared" si="11"/>
        <v>10531.2</v>
      </c>
      <c r="W19" s="73">
        <f>SUMIF('Full 1801-31 data set'!$D$4:$D$484,18,'Full 1801-31 data set'!AH$4:AH$484)</f>
        <v>56370</v>
      </c>
      <c r="X19" s="70">
        <f t="shared" si="12"/>
        <v>5.352666362807657</v>
      </c>
      <c r="Y19" s="17">
        <f t="shared" si="13"/>
        <v>1.138196252189025</v>
      </c>
    </row>
    <row r="20" spans="1:25" x14ac:dyDescent="0.2">
      <c r="A20" s="4" t="s">
        <v>118</v>
      </c>
      <c r="B20" s="8">
        <f>SUMIF('Full 1801-31 data set'!$D$4:$D$484,19,'Full 1801-31 data set'!M$4:M$484)</f>
        <v>1955</v>
      </c>
      <c r="C20" s="8">
        <f>SUMIF('Full 1801-31 data set'!$D$4:$D$484,19,'Full 1801-31 data set'!N$4:N$484)</f>
        <v>2160</v>
      </c>
      <c r="D20" s="8">
        <f>SUMIF('Full 1801-31 data set'!$D$4:$D$484,19,'Full 1801-31 data set'!O$4:O$484)</f>
        <v>4581</v>
      </c>
      <c r="E20" s="8">
        <f>SUMIF('Full 1801-31 data set'!$D$4:$D$484,19,'Full 1801-31 data set'!P$4:P$484)</f>
        <v>2241</v>
      </c>
      <c r="F20" s="8">
        <f>SUMIF('Full 1801-31 data set'!$D$4:$D$484,19,'Full 1801-31 data set'!Q$4:Q$484)</f>
        <v>3996</v>
      </c>
      <c r="G20" s="8">
        <f>SUMIF('Full 1801-31 data set'!$D$4:$D$484,19,'Full 1801-31 data set'!R$4:R$484)</f>
        <v>10818</v>
      </c>
      <c r="H20" s="9">
        <f t="shared" si="0"/>
        <v>5.0083333333333337</v>
      </c>
      <c r="I20" s="10">
        <f t="shared" si="1"/>
        <v>0.42346089850249585</v>
      </c>
      <c r="J20" s="10">
        <f t="shared" si="2"/>
        <v>0.20715474209650583</v>
      </c>
      <c r="K20" s="10">
        <f t="shared" si="3"/>
        <v>0.36938435940099834</v>
      </c>
      <c r="L20" s="9">
        <f t="shared" si="4"/>
        <v>0.48919449901768175</v>
      </c>
      <c r="M20" s="9">
        <f t="shared" si="5"/>
        <v>0.58575197889182062</v>
      </c>
      <c r="N20" s="65">
        <f t="shared" si="6"/>
        <v>3.1719968215524544E-2</v>
      </c>
      <c r="O20" s="8">
        <f>SUMIF('Full 1801-31 data set'!$D$4:$D$484,19,'Full 1801-31 data set'!Z$4:Z$484)</f>
        <v>10606</v>
      </c>
      <c r="P20" s="8">
        <f>SUMIF('Full 1801-31 data set'!$D$4:$D$484,19,'Full 1801-31 data set'!AA$4:AA$484)</f>
        <v>12194</v>
      </c>
      <c r="Q20" s="8">
        <f>SUMIF('Full 1801-31 data set'!$D$4:$D$484,19,'Full 1801-31 data set'!AB$4:AB$484)</f>
        <v>13222</v>
      </c>
      <c r="R20" s="17">
        <f t="shared" si="7"/>
        <v>0.9804030319837308</v>
      </c>
      <c r="S20" s="17">
        <f t="shared" si="8"/>
        <v>1.1497265698661134</v>
      </c>
      <c r="T20" s="17">
        <f t="shared" si="9"/>
        <v>1.0843037559455471</v>
      </c>
      <c r="U20" s="17">
        <f t="shared" si="10"/>
        <v>1.2222222222222223</v>
      </c>
      <c r="V20" s="18">
        <f t="shared" si="11"/>
        <v>11241.2</v>
      </c>
      <c r="W20" s="73">
        <f>SUMIF('Full 1801-31 data set'!$D$4:$D$484,19,'Full 1801-31 data set'!AH$4:AH$484)</f>
        <v>44273</v>
      </c>
      <c r="X20" s="70">
        <f t="shared" si="12"/>
        <v>3.9384585275593351</v>
      </c>
      <c r="Y20" s="17">
        <f t="shared" si="13"/>
        <v>0.83747770393792875</v>
      </c>
    </row>
    <row r="21" spans="1:25" x14ac:dyDescent="0.2">
      <c r="A21" s="4" t="s">
        <v>329</v>
      </c>
      <c r="B21" s="8">
        <f>SUMIF('Full 1801-31 data set'!$D$4:$D$484,20,'Full 1801-31 data set'!M$4:M$484)</f>
        <v>513</v>
      </c>
      <c r="C21" s="8">
        <f>SUMIF('Full 1801-31 data set'!$D$4:$D$484,20,'Full 1801-31 data set'!N$4:N$484)</f>
        <v>746</v>
      </c>
      <c r="D21" s="8">
        <f>SUMIF('Full 1801-31 data set'!$D$4:$D$484,20,'Full 1801-31 data set'!O$4:O$484)</f>
        <v>1530</v>
      </c>
      <c r="E21" s="8">
        <f>SUMIF('Full 1801-31 data set'!$D$4:$D$484,20,'Full 1801-31 data set'!P$4:P$484)</f>
        <v>645</v>
      </c>
      <c r="F21" s="8">
        <f>SUMIF('Full 1801-31 data set'!$D$4:$D$484,20,'Full 1801-31 data set'!Q$4:Q$484)</f>
        <v>240</v>
      </c>
      <c r="G21" s="8">
        <f>SUMIF('Full 1801-31 data set'!$D$4:$D$484,20,'Full 1801-31 data set'!R$4:R$484)</f>
        <v>2415</v>
      </c>
      <c r="H21" s="9">
        <f t="shared" si="0"/>
        <v>3.2372654155495977</v>
      </c>
      <c r="I21" s="10">
        <f t="shared" si="1"/>
        <v>0.63354037267080743</v>
      </c>
      <c r="J21" s="10">
        <f t="shared" si="2"/>
        <v>0.26708074534161491</v>
      </c>
      <c r="K21" s="10">
        <f t="shared" si="3"/>
        <v>9.9378881987577633E-2</v>
      </c>
      <c r="L21" s="9">
        <f t="shared" si="4"/>
        <v>0.42156862745098039</v>
      </c>
      <c r="M21" s="9">
        <f t="shared" si="5"/>
        <v>0.1103448275862069</v>
      </c>
      <c r="N21" s="65">
        <f t="shared" si="6"/>
        <v>7.0811354446747811E-3</v>
      </c>
      <c r="O21" s="8">
        <f>SUMIF('Full 1801-31 data set'!$D$4:$D$484,20,'Full 1801-31 data set'!Z$4:Z$484)</f>
        <v>2880</v>
      </c>
      <c r="P21" s="8">
        <f>SUMIF('Full 1801-31 data set'!$D$4:$D$484,20,'Full 1801-31 data set'!AA$4:AA$484)</f>
        <v>3522</v>
      </c>
      <c r="Q21" s="8">
        <f>SUMIF('Full 1801-31 data set'!$D$4:$D$484,20,'Full 1801-31 data set'!AB$4:AB$484)</f>
        <v>3849</v>
      </c>
      <c r="R21" s="17">
        <f t="shared" si="7"/>
        <v>1.1925465838509317</v>
      </c>
      <c r="S21" s="17">
        <f t="shared" si="8"/>
        <v>1.2229166666666667</v>
      </c>
      <c r="T21" s="17">
        <f t="shared" si="9"/>
        <v>1.0928449744463373</v>
      </c>
      <c r="U21" s="17">
        <f t="shared" si="10"/>
        <v>1.5937888198757764</v>
      </c>
      <c r="V21" s="18">
        <f t="shared" si="11"/>
        <v>3136.8</v>
      </c>
      <c r="W21" s="73">
        <f>SUMIF('Full 1801-31 data set'!$D$4:$D$484,20,'Full 1801-31 data set'!AH$4:AH$484)</f>
        <v>17682</v>
      </c>
      <c r="X21" s="70">
        <f t="shared" si="12"/>
        <v>5.6369548584544757</v>
      </c>
      <c r="Y21" s="17">
        <f t="shared" si="13"/>
        <v>1.1986476381625639</v>
      </c>
    </row>
    <row r="22" spans="1:25" x14ac:dyDescent="0.2">
      <c r="A22" s="4" t="s">
        <v>330</v>
      </c>
      <c r="B22" s="8">
        <f>SUMIF('Full 1801-31 data set'!$D$4:$D$484,21,'Full 1801-31 data set'!M$4:M$484)</f>
        <v>1149</v>
      </c>
      <c r="C22" s="8">
        <f>SUMIF('Full 1801-31 data set'!$D$4:$D$484,21,'Full 1801-31 data set'!N$4:N$484)</f>
        <v>1382</v>
      </c>
      <c r="D22" s="8">
        <f>SUMIF('Full 1801-31 data set'!$D$4:$D$484,21,'Full 1801-31 data set'!O$4:O$484)</f>
        <v>1360</v>
      </c>
      <c r="E22" s="8">
        <f>SUMIF('Full 1801-31 data set'!$D$4:$D$484,21,'Full 1801-31 data set'!P$4:P$484)</f>
        <v>622</v>
      </c>
      <c r="F22" s="8">
        <f>SUMIF('Full 1801-31 data set'!$D$4:$D$484,21,'Full 1801-31 data set'!Q$4:Q$484)</f>
        <v>4732</v>
      </c>
      <c r="G22" s="8">
        <f>SUMIF('Full 1801-31 data set'!$D$4:$D$484,21,'Full 1801-31 data set'!R$4:R$484)</f>
        <v>6714</v>
      </c>
      <c r="H22" s="9">
        <f t="shared" si="0"/>
        <v>4.8581765557163532</v>
      </c>
      <c r="I22" s="10">
        <f t="shared" si="1"/>
        <v>0.20256181114089961</v>
      </c>
      <c r="J22" s="10">
        <f t="shared" si="2"/>
        <v>9.2642240095323208E-2</v>
      </c>
      <c r="K22" s="10">
        <f t="shared" si="3"/>
        <v>0.70479594876377716</v>
      </c>
      <c r="L22" s="9">
        <f t="shared" si="4"/>
        <v>0.45735294117647057</v>
      </c>
      <c r="M22" s="9">
        <f t="shared" si="5"/>
        <v>2.3874873864783046</v>
      </c>
      <c r="N22" s="65">
        <f t="shared" si="6"/>
        <v>1.968643618035051E-2</v>
      </c>
      <c r="O22" s="8">
        <f>SUMIF('Full 1801-31 data set'!$D$4:$D$484,21,'Full 1801-31 data set'!Z$4:Z$484)</f>
        <v>7766</v>
      </c>
      <c r="P22" s="8">
        <f>SUMIF('Full 1801-31 data set'!$D$4:$D$484,21,'Full 1801-31 data set'!AA$4:AA$484)</f>
        <v>9229</v>
      </c>
      <c r="Q22" s="8">
        <f>SUMIF('Full 1801-31 data set'!$D$4:$D$484,21,'Full 1801-31 data set'!AB$4:AB$484)</f>
        <v>9817</v>
      </c>
      <c r="R22" s="17">
        <f t="shared" si="7"/>
        <v>1.1566875186178136</v>
      </c>
      <c r="S22" s="17">
        <f t="shared" si="8"/>
        <v>1.1883852691218131</v>
      </c>
      <c r="T22" s="17">
        <f t="shared" si="9"/>
        <v>1.0637122115072055</v>
      </c>
      <c r="U22" s="17">
        <f t="shared" si="10"/>
        <v>1.4621686029192731</v>
      </c>
      <c r="V22" s="18">
        <f t="shared" si="11"/>
        <v>8351.2000000000007</v>
      </c>
      <c r="W22" s="73">
        <f>SUMIF('Full 1801-31 data set'!$D$4:$D$484,21,'Full 1801-31 data set'!AH$4:AH$484)</f>
        <v>55204</v>
      </c>
      <c r="X22" s="70">
        <f t="shared" si="12"/>
        <v>6.6103075007184593</v>
      </c>
      <c r="Y22" s="17">
        <f t="shared" si="13"/>
        <v>1.405622303570635</v>
      </c>
    </row>
    <row r="23" spans="1:25" x14ac:dyDescent="0.2">
      <c r="A23" s="5" t="s">
        <v>115</v>
      </c>
      <c r="B23" s="8">
        <f>SUMIF('Full 1801-31 data set'!$D$4:$D$484,22,'Full 1801-31 data set'!M$4:M$484)</f>
        <v>5726</v>
      </c>
      <c r="C23" s="8">
        <f>SUMIF('Full 1801-31 data set'!$D$4:$D$484,22,'Full 1801-31 data set'!N$4:N$484)</f>
        <v>12173</v>
      </c>
      <c r="D23" s="8">
        <f>SUMIF('Full 1801-31 data set'!$D$4:$D$484,22,'Full 1801-31 data set'!O$4:O$484)</f>
        <v>3815</v>
      </c>
      <c r="E23" s="8">
        <f>SUMIF('Full 1801-31 data set'!$D$4:$D$484,22,'Full 1801-31 data set'!P$4:P$484)</f>
        <v>7921</v>
      </c>
      <c r="F23" s="8">
        <f>SUMIF('Full 1801-31 data set'!$D$4:$D$484,22,'Full 1801-31 data set'!Q$4:Q$484)</f>
        <v>39312</v>
      </c>
      <c r="G23" s="8">
        <f>SUMIF('Full 1801-31 data set'!$D$4:$D$484,22,'Full 1801-31 data set'!R$4:R$484)</f>
        <v>51048</v>
      </c>
      <c r="H23" s="9">
        <f t="shared" si="0"/>
        <v>4.1935430871601085</v>
      </c>
      <c r="I23" s="10">
        <f t="shared" si="1"/>
        <v>7.4733584077730758E-2</v>
      </c>
      <c r="J23" s="10">
        <f t="shared" si="2"/>
        <v>0.15516768531578123</v>
      </c>
      <c r="K23" s="10">
        <f t="shared" si="3"/>
        <v>0.77009873060648804</v>
      </c>
      <c r="L23" s="9">
        <f t="shared" si="4"/>
        <v>2.076277850589777</v>
      </c>
      <c r="M23" s="9">
        <f t="shared" si="5"/>
        <v>3.3496932515337425</v>
      </c>
      <c r="N23" s="65">
        <f t="shared" si="6"/>
        <v>0.14968024934979637</v>
      </c>
      <c r="O23" s="8">
        <f>SUMIF('Full 1801-31 data set'!$D$4:$D$484,22,'Full 1801-31 data set'!Z$4:Z$484)</f>
        <v>65187</v>
      </c>
      <c r="P23" s="8">
        <f>SUMIF('Full 1801-31 data set'!$D$4:$D$484,22,'Full 1801-31 data set'!AA$4:AA$484)</f>
        <v>72012</v>
      </c>
      <c r="Q23" s="8">
        <f>SUMIF('Full 1801-31 data set'!$D$4:$D$484,22,'Full 1801-31 data set'!AB$4:AB$484)</f>
        <v>86430</v>
      </c>
      <c r="R23" s="17">
        <f t="shared" si="7"/>
        <v>1.2769746121297603</v>
      </c>
      <c r="S23" s="17">
        <f t="shared" si="8"/>
        <v>1.1046987896359703</v>
      </c>
      <c r="T23" s="17">
        <f t="shared" si="9"/>
        <v>1.2002166305615731</v>
      </c>
      <c r="U23" s="17">
        <f t="shared" si="10"/>
        <v>1.6931123648330983</v>
      </c>
      <c r="V23" s="18">
        <f t="shared" si="11"/>
        <v>67917</v>
      </c>
      <c r="W23" s="73">
        <f>SUMIF('Full 1801-31 data set'!$D$4:$D$484,22,'Full 1801-31 data set'!AH$4:AH$484)</f>
        <v>272421</v>
      </c>
      <c r="X23" s="70">
        <f t="shared" si="12"/>
        <v>4.0110870621493886</v>
      </c>
      <c r="Y23" s="17">
        <f t="shared" si="13"/>
        <v>0.85292150713230885</v>
      </c>
    </row>
    <row r="24" spans="1:25" x14ac:dyDescent="0.2">
      <c r="A24" s="5" t="s">
        <v>123</v>
      </c>
      <c r="B24" s="8">
        <f>SUMIF('Full 1801-31 data set'!$D$4:$D$484,23,'Full 1801-31 data set'!M$4:M$484)</f>
        <v>2594</v>
      </c>
      <c r="C24" s="8">
        <f>SUMIF('Full 1801-31 data set'!$D$4:$D$484,23,'Full 1801-31 data set'!N$4:N$484)</f>
        <v>2708</v>
      </c>
      <c r="D24" s="8">
        <f>SUMIF('Full 1801-31 data set'!$D$4:$D$484,23,'Full 1801-31 data set'!O$4:O$484)</f>
        <v>5504</v>
      </c>
      <c r="E24" s="8">
        <f>SUMIF('Full 1801-31 data set'!$D$4:$D$484,23,'Full 1801-31 data set'!P$4:P$484)</f>
        <v>979</v>
      </c>
      <c r="F24" s="8">
        <f>SUMIF('Full 1801-31 data set'!$D$4:$D$484,23,'Full 1801-31 data set'!Q$4:Q$484)</f>
        <v>7852</v>
      </c>
      <c r="G24" s="8">
        <f>SUMIF('Full 1801-31 data set'!$D$4:$D$484,23,'Full 1801-31 data set'!R$4:R$484)</f>
        <v>14335</v>
      </c>
      <c r="H24" s="9">
        <f t="shared" si="0"/>
        <v>5.2935745937961594</v>
      </c>
      <c r="I24" s="10">
        <f t="shared" si="1"/>
        <v>0.38395535402860131</v>
      </c>
      <c r="J24" s="10">
        <f t="shared" si="2"/>
        <v>6.8294384373910014E-2</v>
      </c>
      <c r="K24" s="10">
        <f t="shared" si="3"/>
        <v>0.54775026159748863</v>
      </c>
      <c r="L24" s="9">
        <f t="shared" si="4"/>
        <v>0.17787063953488372</v>
      </c>
      <c r="M24" s="9">
        <f t="shared" si="5"/>
        <v>1.2111676692889095</v>
      </c>
      <c r="N24" s="65">
        <f t="shared" si="6"/>
        <v>4.2032329854829395E-2</v>
      </c>
      <c r="O24" s="8">
        <f>SUMIF('Full 1801-31 data set'!$D$4:$D$484,23,'Full 1801-31 data set'!Z$4:Z$484)</f>
        <v>15243</v>
      </c>
      <c r="P24" s="8">
        <f>SUMIF('Full 1801-31 data set'!$D$4:$D$484,23,'Full 1801-31 data set'!AA$4:AA$484)</f>
        <v>18138</v>
      </c>
      <c r="Q24" s="8">
        <f>SUMIF('Full 1801-31 data set'!$D$4:$D$484,23,'Full 1801-31 data set'!AB$4:AB$484)</f>
        <v>20153</v>
      </c>
      <c r="R24" s="17">
        <f t="shared" si="7"/>
        <v>1.0633414719218695</v>
      </c>
      <c r="S24" s="17">
        <f t="shared" si="8"/>
        <v>1.1899232434560125</v>
      </c>
      <c r="T24" s="17">
        <f t="shared" si="9"/>
        <v>1.1110927334877054</v>
      </c>
      <c r="U24" s="17">
        <f t="shared" si="10"/>
        <v>1.405859783746076</v>
      </c>
      <c r="V24" s="18">
        <f t="shared" si="11"/>
        <v>16401</v>
      </c>
      <c r="W24" s="73">
        <f>SUMIF('Full 1801-31 data set'!$D$4:$D$484,23,'Full 1801-31 data set'!AH$4:AH$484)</f>
        <v>63857</v>
      </c>
      <c r="X24" s="70">
        <f t="shared" si="12"/>
        <v>3.8934821047497103</v>
      </c>
      <c r="Y24" s="17">
        <f t="shared" si="13"/>
        <v>0.82791387305273001</v>
      </c>
    </row>
    <row r="25" spans="1:25" x14ac:dyDescent="0.2">
      <c r="A25" s="4" t="s">
        <v>331</v>
      </c>
      <c r="B25" s="8">
        <f>SUMIF('Full 1801-31 data set'!$D$4:$D$484,24,'Full 1801-31 data set'!M$4:M$484)</f>
        <v>578</v>
      </c>
      <c r="C25" s="8">
        <f>SUMIF('Full 1801-31 data set'!$D$4:$D$484,24,'Full 1801-31 data set'!N$4:N$484)</f>
        <v>620</v>
      </c>
      <c r="D25" s="8">
        <f>SUMIF('Full 1801-31 data set'!$D$4:$D$484,24,'Full 1801-31 data set'!O$4:O$484)</f>
        <v>1486</v>
      </c>
      <c r="E25" s="8">
        <f>SUMIF('Full 1801-31 data set'!$D$4:$D$484,24,'Full 1801-31 data set'!P$4:P$484)</f>
        <v>300</v>
      </c>
      <c r="F25" s="8">
        <f>SUMIF('Full 1801-31 data set'!$D$4:$D$484,24,'Full 1801-31 data set'!Q$4:Q$484)</f>
        <v>1355</v>
      </c>
      <c r="G25" s="8">
        <f>SUMIF('Full 1801-31 data set'!$D$4:$D$484,24,'Full 1801-31 data set'!R$4:R$484)</f>
        <v>3141</v>
      </c>
      <c r="H25" s="9">
        <f t="shared" si="0"/>
        <v>5.0661290322580648</v>
      </c>
      <c r="I25" s="10">
        <f t="shared" si="1"/>
        <v>0.47309773957338425</v>
      </c>
      <c r="J25" s="10">
        <f t="shared" si="2"/>
        <v>9.5510983763132759E-2</v>
      </c>
      <c r="K25" s="10">
        <f t="shared" si="3"/>
        <v>0.43139127666348298</v>
      </c>
      <c r="L25" s="9">
        <f t="shared" si="4"/>
        <v>0.20188425302826379</v>
      </c>
      <c r="M25" s="9">
        <f t="shared" si="5"/>
        <v>0.75867861142217241</v>
      </c>
      <c r="N25" s="65">
        <f t="shared" si="6"/>
        <v>9.2098742988503055E-3</v>
      </c>
      <c r="O25" s="8">
        <f>SUMIF('Full 1801-31 data set'!$D$4:$D$484,24,'Full 1801-31 data set'!Z$4:Z$484)</f>
        <v>3275</v>
      </c>
      <c r="P25" s="8">
        <f>SUMIF('Full 1801-31 data set'!$D$4:$D$484,24,'Full 1801-31 data set'!AA$4:AA$484)</f>
        <v>3787</v>
      </c>
      <c r="Q25" s="8">
        <f>SUMIF('Full 1801-31 data set'!$D$4:$D$484,24,'Full 1801-31 data set'!AB$4:AB$484)</f>
        <v>4186</v>
      </c>
      <c r="R25" s="17">
        <f t="shared" si="7"/>
        <v>1.0426615727475326</v>
      </c>
      <c r="S25" s="17">
        <f t="shared" si="8"/>
        <v>1.1563358778625954</v>
      </c>
      <c r="T25" s="17">
        <f t="shared" si="9"/>
        <v>1.1053604436229205</v>
      </c>
      <c r="U25" s="17">
        <f t="shared" si="10"/>
        <v>1.3326965934415791</v>
      </c>
      <c r="V25" s="18">
        <f t="shared" si="11"/>
        <v>3479.8</v>
      </c>
      <c r="W25" s="73">
        <f>SUMIF('Full 1801-31 data set'!$D$4:$D$484,24,'Full 1801-31 data set'!AH$4:AH$484)</f>
        <v>18918</v>
      </c>
      <c r="X25" s="70">
        <f t="shared" si="12"/>
        <v>5.4365193401919649</v>
      </c>
      <c r="Y25" s="17">
        <f t="shared" si="13"/>
        <v>1.156026831964531</v>
      </c>
    </row>
    <row r="26" spans="1:25" x14ac:dyDescent="0.2">
      <c r="A26" s="4" t="s">
        <v>332</v>
      </c>
      <c r="B26" s="8">
        <f>SUMIF('Full 1801-31 data set'!$D$4:$D$484,25,'Full 1801-31 data set'!M$4:M$484)</f>
        <v>1907</v>
      </c>
      <c r="C26" s="8">
        <f>SUMIF('Full 1801-31 data set'!$D$4:$D$484,25,'Full 1801-31 data set'!N$4:N$484)</f>
        <v>2060</v>
      </c>
      <c r="D26" s="8">
        <f>SUMIF('Full 1801-31 data set'!$D$4:$D$484,25,'Full 1801-31 data set'!O$4:O$484)</f>
        <v>4012</v>
      </c>
      <c r="E26" s="8">
        <f>SUMIF('Full 1801-31 data set'!$D$4:$D$484,25,'Full 1801-31 data set'!P$4:P$484)</f>
        <v>3345</v>
      </c>
      <c r="F26" s="8">
        <f>SUMIF('Full 1801-31 data set'!$D$4:$D$484,25,'Full 1801-31 data set'!Q$4:Q$484)</f>
        <v>2393</v>
      </c>
      <c r="G26" s="8">
        <f>SUMIF('Full 1801-31 data set'!$D$4:$D$484,25,'Full 1801-31 data set'!R$4:R$484)</f>
        <v>9750</v>
      </c>
      <c r="H26" s="9">
        <f t="shared" si="0"/>
        <v>4.733009708737864</v>
      </c>
      <c r="I26" s="10">
        <f t="shared" si="1"/>
        <v>0.4114871794871795</v>
      </c>
      <c r="J26" s="10">
        <f t="shared" si="2"/>
        <v>0.34307692307692306</v>
      </c>
      <c r="K26" s="10">
        <f t="shared" si="3"/>
        <v>0.24543589743589744</v>
      </c>
      <c r="L26" s="9">
        <f t="shared" si="4"/>
        <v>0.83374875373878365</v>
      </c>
      <c r="M26" s="9">
        <f t="shared" si="5"/>
        <v>0.32526845181459835</v>
      </c>
      <c r="N26" s="65">
        <f t="shared" si="6"/>
        <v>2.858843502508452E-2</v>
      </c>
      <c r="O26" s="8">
        <f>SUMIF('Full 1801-31 data set'!$D$4:$D$484,25,'Full 1801-31 data set'!Z$4:Z$484)</f>
        <v>10552</v>
      </c>
      <c r="P26" s="8">
        <f>SUMIF('Full 1801-31 data set'!$D$4:$D$484,25,'Full 1801-31 data set'!AA$4:AA$484)</f>
        <v>12201</v>
      </c>
      <c r="Q26" s="8">
        <f>SUMIF('Full 1801-31 data set'!$D$4:$D$484,25,'Full 1801-31 data set'!AB$4:AB$484)</f>
        <v>13825</v>
      </c>
      <c r="R26" s="17">
        <f t="shared" si="7"/>
        <v>1.0822564102564103</v>
      </c>
      <c r="S26" s="17">
        <f t="shared" si="8"/>
        <v>1.1562736921910539</v>
      </c>
      <c r="T26" s="17">
        <f t="shared" si="9"/>
        <v>1.1331038439472174</v>
      </c>
      <c r="U26" s="17">
        <f t="shared" si="10"/>
        <v>1.417948717948718</v>
      </c>
      <c r="V26" s="18">
        <f t="shared" si="11"/>
        <v>11211.6</v>
      </c>
      <c r="W26" s="73">
        <f>SUMIF('Full 1801-31 data set'!$D$4:$D$484,25,'Full 1801-31 data set'!AH$4:AH$484)</f>
        <v>51383</v>
      </c>
      <c r="X26" s="70">
        <f t="shared" si="12"/>
        <v>4.5830211566591741</v>
      </c>
      <c r="Y26" s="17">
        <f t="shared" si="13"/>
        <v>0.97453813681679069</v>
      </c>
    </row>
    <row r="27" spans="1:25" x14ac:dyDescent="0.2">
      <c r="A27" s="5" t="s">
        <v>110</v>
      </c>
      <c r="B27" s="8">
        <f>SUMIF('Full 1801-31 data set'!$D$4:$D$484,26,'Full 1801-31 data set'!M$4:M$484)</f>
        <v>1785</v>
      </c>
      <c r="C27" s="8">
        <f>SUMIF('Full 1801-31 data set'!$D$4:$D$484,26,'Full 1801-31 data set'!N$4:N$484)</f>
        <v>1996</v>
      </c>
      <c r="D27" s="8">
        <f>SUMIF('Full 1801-31 data set'!$D$4:$D$484,26,'Full 1801-31 data set'!O$4:O$484)</f>
        <v>3986</v>
      </c>
      <c r="E27" s="8">
        <f>SUMIF('Full 1801-31 data set'!$D$4:$D$484,26,'Full 1801-31 data set'!P$4:P$484)</f>
        <v>2524</v>
      </c>
      <c r="F27" s="8">
        <f>SUMIF('Full 1801-31 data set'!$D$4:$D$484,26,'Full 1801-31 data set'!Q$4:Q$484)</f>
        <v>4230</v>
      </c>
      <c r="G27" s="8">
        <f>SUMIF('Full 1801-31 data set'!$D$4:$D$484,26,'Full 1801-31 data set'!R$4:R$484)</f>
        <v>10740</v>
      </c>
      <c r="H27" s="9">
        <f t="shared" si="0"/>
        <v>5.3807615230460923</v>
      </c>
      <c r="I27" s="10">
        <f t="shared" si="1"/>
        <v>0.37113594040968345</v>
      </c>
      <c r="J27" s="10">
        <f t="shared" si="2"/>
        <v>0.23500931098696462</v>
      </c>
      <c r="K27" s="10">
        <f t="shared" si="3"/>
        <v>0.39385474860335196</v>
      </c>
      <c r="L27" s="9">
        <f t="shared" si="4"/>
        <v>0.63321625689914707</v>
      </c>
      <c r="M27" s="9">
        <f t="shared" si="5"/>
        <v>0.64976958525345618</v>
      </c>
      <c r="N27" s="65">
        <f t="shared" si="6"/>
        <v>3.1491260735323871E-2</v>
      </c>
      <c r="O27" s="8">
        <f>SUMIF('Full 1801-31 data set'!$D$4:$D$484,26,'Full 1801-31 data set'!Z$4:Z$484)</f>
        <v>12285</v>
      </c>
      <c r="P27" s="8">
        <f>SUMIF('Full 1801-31 data set'!$D$4:$D$484,26,'Full 1801-31 data set'!AA$4:AA$484)</f>
        <v>13984</v>
      </c>
      <c r="Q27" s="8">
        <f>SUMIF('Full 1801-31 data set'!$D$4:$D$484,26,'Full 1801-31 data set'!AB$4:AB$484)</f>
        <v>14521</v>
      </c>
      <c r="R27" s="17">
        <f t="shared" si="7"/>
        <v>1.1438547486033519</v>
      </c>
      <c r="S27" s="17">
        <f t="shared" si="8"/>
        <v>1.1382987382987384</v>
      </c>
      <c r="T27" s="17">
        <f t="shared" si="9"/>
        <v>1.0384010297482837</v>
      </c>
      <c r="U27" s="17">
        <f t="shared" si="10"/>
        <v>1.352048417132216</v>
      </c>
      <c r="V27" s="18">
        <f t="shared" si="11"/>
        <v>12964.6</v>
      </c>
      <c r="W27" s="73">
        <f>SUMIF('Full 1801-31 data set'!$D$4:$D$484,26,'Full 1801-31 data set'!AH$4:AH$484)</f>
        <v>76458</v>
      </c>
      <c r="X27" s="70">
        <f t="shared" si="12"/>
        <v>5.897443808524752</v>
      </c>
      <c r="Y27" s="17">
        <f t="shared" si="13"/>
        <v>1.2540382653024786</v>
      </c>
    </row>
    <row r="28" spans="1:25" x14ac:dyDescent="0.2">
      <c r="A28" s="5" t="s">
        <v>126</v>
      </c>
      <c r="B28" s="8">
        <f>SUMIF('Full 1801-31 data set'!$D$4:$D$484,27,'Full 1801-31 data set'!M$4:M$484)</f>
        <v>641</v>
      </c>
      <c r="C28" s="8">
        <f>SUMIF('Full 1801-31 data set'!$D$4:$D$484,27,'Full 1801-31 data set'!N$4:N$484)</f>
        <v>981</v>
      </c>
      <c r="D28" s="8">
        <f>SUMIF('Full 1801-31 data set'!$D$4:$D$484,27,'Full 1801-31 data set'!O$4:O$484)</f>
        <v>973</v>
      </c>
      <c r="E28" s="8">
        <f>SUMIF('Full 1801-31 data set'!$D$4:$D$484,27,'Full 1801-31 data set'!P$4:P$484)</f>
        <v>775</v>
      </c>
      <c r="F28" s="8">
        <f>SUMIF('Full 1801-31 data set'!$D$4:$D$484,27,'Full 1801-31 data set'!Q$4:Q$484)</f>
        <v>2642</v>
      </c>
      <c r="G28" s="8">
        <f>SUMIF('Full 1801-31 data set'!$D$4:$D$484,27,'Full 1801-31 data set'!R$4:R$484)</f>
        <v>4390</v>
      </c>
      <c r="H28" s="9">
        <f t="shared" si="0"/>
        <v>4.4750254841997963</v>
      </c>
      <c r="I28" s="10">
        <f t="shared" si="1"/>
        <v>0.22164009111617311</v>
      </c>
      <c r="J28" s="10">
        <f t="shared" si="2"/>
        <v>0.17653758542141229</v>
      </c>
      <c r="K28" s="10">
        <f t="shared" si="3"/>
        <v>0.6018223234624146</v>
      </c>
      <c r="L28" s="9">
        <f t="shared" si="4"/>
        <v>0.79650565262076056</v>
      </c>
      <c r="M28" s="9">
        <f t="shared" si="5"/>
        <v>1.5114416475972541</v>
      </c>
      <c r="N28" s="65">
        <f t="shared" si="6"/>
        <v>1.2872126129243183E-2</v>
      </c>
      <c r="O28" s="8">
        <f>SUMIF('Full 1801-31 data set'!$D$4:$D$484,27,'Full 1801-31 data set'!Z$4:Z$484)</f>
        <v>5778</v>
      </c>
      <c r="P28" s="8">
        <f>SUMIF('Full 1801-31 data set'!$D$4:$D$484,27,'Full 1801-31 data set'!AA$4:AA$484)</f>
        <v>6785</v>
      </c>
      <c r="Q28" s="8">
        <f>SUMIF('Full 1801-31 data set'!$D$4:$D$484,27,'Full 1801-31 data set'!AB$4:AB$484)</f>
        <v>6954</v>
      </c>
      <c r="R28" s="17">
        <f t="shared" si="7"/>
        <v>1.3161731207289293</v>
      </c>
      <c r="S28" s="17">
        <f t="shared" si="8"/>
        <v>1.174281758393908</v>
      </c>
      <c r="T28" s="17">
        <f t="shared" si="9"/>
        <v>1.0249078850405307</v>
      </c>
      <c r="U28" s="17">
        <f t="shared" si="10"/>
        <v>1.5840546697038724</v>
      </c>
      <c r="V28" s="18">
        <f t="shared" si="11"/>
        <v>6180.7999999999993</v>
      </c>
      <c r="W28" s="73">
        <f>SUMIF('Full 1801-31 data set'!$D$4:$D$484,27,'Full 1801-31 data set'!AH$4:AH$484)</f>
        <v>28515</v>
      </c>
      <c r="X28" s="70">
        <f t="shared" si="12"/>
        <v>4.6134804556044529</v>
      </c>
      <c r="Y28" s="17">
        <f t="shared" si="13"/>
        <v>0.98101503217210606</v>
      </c>
    </row>
    <row r="29" spans="1:25" x14ac:dyDescent="0.2">
      <c r="A29" s="5" t="s">
        <v>111</v>
      </c>
      <c r="B29" s="8">
        <f>SUMIF('Full 1801-31 data set'!$D$4:$D$484,28,'Full 1801-31 data set'!M$4:M$484)</f>
        <v>1952</v>
      </c>
      <c r="C29" s="8">
        <f>SUMIF('Full 1801-31 data set'!$D$4:$D$484,28,'Full 1801-31 data set'!N$4:N$484)</f>
        <v>2286</v>
      </c>
      <c r="D29" s="8">
        <f>SUMIF('Full 1801-31 data set'!$D$4:$D$484,28,'Full 1801-31 data set'!O$4:O$484)</f>
        <v>2863</v>
      </c>
      <c r="E29" s="8">
        <f>SUMIF('Full 1801-31 data set'!$D$4:$D$484,28,'Full 1801-31 data set'!P$4:P$484)</f>
        <v>1739</v>
      </c>
      <c r="F29" s="8">
        <f>SUMIF('Full 1801-31 data set'!$D$4:$D$484,28,'Full 1801-31 data set'!Q$4:Q$484)</f>
        <v>6535</v>
      </c>
      <c r="G29" s="8">
        <f>SUMIF('Full 1801-31 data set'!$D$4:$D$484,28,'Full 1801-31 data set'!R$4:R$484)</f>
        <v>11137</v>
      </c>
      <c r="H29" s="9">
        <f t="shared" si="0"/>
        <v>4.8718285214348205</v>
      </c>
      <c r="I29" s="10">
        <f t="shared" si="1"/>
        <v>0.25707102451288499</v>
      </c>
      <c r="J29" s="10">
        <f t="shared" si="2"/>
        <v>0.15614617940199335</v>
      </c>
      <c r="K29" s="10">
        <f t="shared" si="3"/>
        <v>0.58678279608512163</v>
      </c>
      <c r="L29" s="9">
        <f t="shared" si="4"/>
        <v>0.60740482011875652</v>
      </c>
      <c r="M29" s="9">
        <f t="shared" si="5"/>
        <v>1.4200347674923945</v>
      </c>
      <c r="N29" s="65">
        <f t="shared" si="6"/>
        <v>3.265532316660167E-2</v>
      </c>
      <c r="O29" s="8">
        <f>SUMIF('Full 1801-31 data set'!$D$4:$D$484,28,'Full 1801-31 data set'!Z$4:Z$484)</f>
        <v>11269</v>
      </c>
      <c r="P29" s="8">
        <f>SUMIF('Full 1801-31 data set'!$D$4:$D$484,28,'Full 1801-31 data set'!AA$4:AA$484)</f>
        <v>12977</v>
      </c>
      <c r="Q29" s="8">
        <f>SUMIF('Full 1801-31 data set'!$D$4:$D$484,28,'Full 1801-31 data set'!AB$4:AB$484)</f>
        <v>14465</v>
      </c>
      <c r="R29" s="17">
        <f t="shared" si="7"/>
        <v>1.0118523839454072</v>
      </c>
      <c r="S29" s="17">
        <f t="shared" si="8"/>
        <v>1.1515662436773448</v>
      </c>
      <c r="T29" s="17">
        <f t="shared" si="9"/>
        <v>1.1146644062572244</v>
      </c>
      <c r="U29" s="17">
        <f t="shared" si="10"/>
        <v>1.2988237406842058</v>
      </c>
      <c r="V29" s="18">
        <f t="shared" si="11"/>
        <v>11952.2</v>
      </c>
      <c r="W29" s="73">
        <f>SUMIF('Full 1801-31 data set'!$D$4:$D$484,28,'Full 1801-31 data set'!AH$4:AH$484)</f>
        <v>45251</v>
      </c>
      <c r="X29" s="70">
        <f t="shared" si="12"/>
        <v>3.7859975569351247</v>
      </c>
      <c r="Y29" s="17">
        <f t="shared" si="13"/>
        <v>0.80505825284429577</v>
      </c>
    </row>
    <row r="30" spans="1:25" x14ac:dyDescent="0.2">
      <c r="A30" s="4" t="s">
        <v>333</v>
      </c>
      <c r="B30" s="8">
        <f>SUMIF('Full 1801-31 data set'!$D$4:$D$484,29,'Full 1801-31 data set'!M$4:M$484)</f>
        <v>1313</v>
      </c>
      <c r="C30" s="8">
        <f>SUMIF('Full 1801-31 data set'!$D$4:$D$484,29,'Full 1801-31 data set'!N$4:N$484)</f>
        <v>1498</v>
      </c>
      <c r="D30" s="8">
        <f>SUMIF('Full 1801-31 data set'!$D$4:$D$484,29,'Full 1801-31 data set'!O$4:O$484)</f>
        <v>1339</v>
      </c>
      <c r="E30" s="8">
        <f>SUMIF('Full 1801-31 data set'!$D$4:$D$484,29,'Full 1801-31 data set'!P$4:P$484)</f>
        <v>1698</v>
      </c>
      <c r="F30" s="8">
        <f>SUMIF('Full 1801-31 data set'!$D$4:$D$484,29,'Full 1801-31 data set'!Q$4:Q$484)</f>
        <v>4008</v>
      </c>
      <c r="G30" s="8">
        <f>SUMIF('Full 1801-31 data set'!$D$4:$D$484,29,'Full 1801-31 data set'!R$4:R$484)</f>
        <v>7045</v>
      </c>
      <c r="H30" s="9">
        <f t="shared" si="0"/>
        <v>4.7029372496662214</v>
      </c>
      <c r="I30" s="10">
        <f t="shared" si="1"/>
        <v>0.19006387508871539</v>
      </c>
      <c r="J30" s="10">
        <f t="shared" si="2"/>
        <v>0.24102200141944641</v>
      </c>
      <c r="K30" s="10">
        <f t="shared" si="3"/>
        <v>0.56891412349183823</v>
      </c>
      <c r="L30" s="9">
        <f t="shared" si="4"/>
        <v>1.2681105302464526</v>
      </c>
      <c r="M30" s="9">
        <f t="shared" si="5"/>
        <v>1.3197234112611129</v>
      </c>
      <c r="N30" s="65">
        <f t="shared" si="6"/>
        <v>2.0656976897612353E-2</v>
      </c>
      <c r="O30" s="8">
        <f>SUMIF('Full 1801-31 data set'!$D$4:$D$484,29,'Full 1801-31 data set'!Z$4:Z$484)</f>
        <v>7272</v>
      </c>
      <c r="P30" s="8">
        <f>SUMIF('Full 1801-31 data set'!$D$4:$D$484,29,'Full 1801-31 data set'!AA$4:AA$484)</f>
        <v>9247</v>
      </c>
      <c r="Q30" s="8">
        <f>SUMIF('Full 1801-31 data set'!$D$4:$D$484,29,'Full 1801-31 data set'!AB$4:AB$484)</f>
        <v>10412</v>
      </c>
      <c r="R30" s="17">
        <f t="shared" si="7"/>
        <v>1.0322214336408801</v>
      </c>
      <c r="S30" s="17">
        <f t="shared" si="8"/>
        <v>1.2715896589658966</v>
      </c>
      <c r="T30" s="17">
        <f t="shared" si="9"/>
        <v>1.1259868065318481</v>
      </c>
      <c r="U30" s="17">
        <f t="shared" si="10"/>
        <v>1.4779276082327892</v>
      </c>
      <c r="V30" s="18">
        <f t="shared" si="11"/>
        <v>8062</v>
      </c>
      <c r="W30" s="73">
        <f>SUMIF('Full 1801-31 data set'!$D$4:$D$484,29,'Full 1801-31 data set'!AH$4:AH$484)</f>
        <v>18768</v>
      </c>
      <c r="X30" s="70">
        <f t="shared" si="12"/>
        <v>2.3279583229967749</v>
      </c>
      <c r="Y30" s="17">
        <f t="shared" si="13"/>
        <v>0.49501935276558728</v>
      </c>
    </row>
    <row r="31" spans="1:25" x14ac:dyDescent="0.2">
      <c r="A31" s="5" t="s">
        <v>124</v>
      </c>
      <c r="B31" s="8">
        <f>SUMIF('Full 1801-31 data set'!$D$4:$D$484,30,'Full 1801-31 data set'!M$4:M$484)</f>
        <v>530</v>
      </c>
      <c r="C31" s="8">
        <f>SUMIF('Full 1801-31 data set'!$D$4:$D$484,30,'Full 1801-31 data set'!N$4:N$484)</f>
        <v>554</v>
      </c>
      <c r="D31" s="8">
        <f>SUMIF('Full 1801-31 data set'!$D$4:$D$484,30,'Full 1801-31 data set'!O$4:O$484)</f>
        <v>1899</v>
      </c>
      <c r="E31" s="8">
        <f>SUMIF('Full 1801-31 data set'!$D$4:$D$484,30,'Full 1801-31 data set'!P$4:P$484)</f>
        <v>479</v>
      </c>
      <c r="F31" s="8">
        <f>SUMIF('Full 1801-31 data set'!$D$4:$D$484,30,'Full 1801-31 data set'!Q$4:Q$484)</f>
        <v>336</v>
      </c>
      <c r="G31" s="8">
        <f>SUMIF('Full 1801-31 data set'!$D$4:$D$484,30,'Full 1801-31 data set'!R$4:R$484)</f>
        <v>2714</v>
      </c>
      <c r="H31" s="9">
        <f t="shared" si="0"/>
        <v>4.8989169675090256</v>
      </c>
      <c r="I31" s="10">
        <f t="shared" si="1"/>
        <v>0.69970523212969782</v>
      </c>
      <c r="J31" s="10">
        <f t="shared" si="2"/>
        <v>0.17649226234340457</v>
      </c>
      <c r="K31" s="10">
        <f t="shared" si="3"/>
        <v>0.12380250552689757</v>
      </c>
      <c r="L31" s="9">
        <f t="shared" si="4"/>
        <v>0.25223802001053186</v>
      </c>
      <c r="M31" s="9">
        <f t="shared" si="5"/>
        <v>0.14129520605550883</v>
      </c>
      <c r="N31" s="65">
        <f t="shared" si="6"/>
        <v>7.9578474521107053E-3</v>
      </c>
      <c r="O31" s="8">
        <f>SUMIF('Full 1801-31 data set'!$D$4:$D$484,30,'Full 1801-31 data set'!Z$4:Z$484)</f>
        <v>2772</v>
      </c>
      <c r="P31" s="8">
        <f>SUMIF('Full 1801-31 data set'!$D$4:$D$484,30,'Full 1801-31 data set'!AA$4:AA$484)</f>
        <v>3038</v>
      </c>
      <c r="Q31" s="8">
        <f>SUMIF('Full 1801-31 data set'!$D$4:$D$484,30,'Full 1801-31 data set'!AB$4:AB$484)</f>
        <v>3047</v>
      </c>
      <c r="R31" s="17">
        <f t="shared" si="7"/>
        <v>1.021370670596905</v>
      </c>
      <c r="S31" s="17">
        <f t="shared" si="8"/>
        <v>1.095959595959596</v>
      </c>
      <c r="T31" s="17">
        <f t="shared" si="9"/>
        <v>1.0029624753127058</v>
      </c>
      <c r="U31" s="17">
        <f t="shared" si="10"/>
        <v>1.1226971260132645</v>
      </c>
      <c r="V31" s="18">
        <f t="shared" si="11"/>
        <v>2878.4</v>
      </c>
      <c r="W31" s="73">
        <f>SUMIF('Full 1801-31 data set'!$D$4:$D$484,30,'Full 1801-31 data set'!AH$4:AH$484)</f>
        <v>18121</v>
      </c>
      <c r="X31" s="70">
        <f t="shared" si="12"/>
        <v>6.2955113952195658</v>
      </c>
      <c r="Y31" s="17">
        <f t="shared" si="13"/>
        <v>1.3386837493629333</v>
      </c>
    </row>
    <row r="32" spans="1:25" x14ac:dyDescent="0.2">
      <c r="A32" s="5" t="s">
        <v>119</v>
      </c>
      <c r="B32" s="8">
        <f>SUMIF('Full 1801-31 data set'!$D$4:$D$484,31,'Full 1801-31 data set'!M$4:M$484)</f>
        <v>1373</v>
      </c>
      <c r="C32" s="8">
        <f>SUMIF('Full 1801-31 data set'!$D$4:$D$484,31,'Full 1801-31 data set'!N$4:N$484)</f>
        <v>1451</v>
      </c>
      <c r="D32" s="8">
        <f>SUMIF('Full 1801-31 data set'!$D$4:$D$484,31,'Full 1801-31 data set'!O$4:O$484)</f>
        <v>2677</v>
      </c>
      <c r="E32" s="8">
        <f>SUMIF('Full 1801-31 data set'!$D$4:$D$484,31,'Full 1801-31 data set'!P$4:P$484)</f>
        <v>608</v>
      </c>
      <c r="F32" s="8">
        <f>SUMIF('Full 1801-31 data set'!$D$4:$D$484,31,'Full 1801-31 data set'!Q$4:Q$484)</f>
        <v>4085</v>
      </c>
      <c r="G32" s="8">
        <f>SUMIF('Full 1801-31 data set'!$D$4:$D$484,31,'Full 1801-31 data set'!R$4:R$484)</f>
        <v>7370</v>
      </c>
      <c r="H32" s="9">
        <f t="shared" si="0"/>
        <v>5.079255685733977</v>
      </c>
      <c r="I32" s="10">
        <f t="shared" si="1"/>
        <v>0.36322930800542741</v>
      </c>
      <c r="J32" s="10">
        <f t="shared" si="2"/>
        <v>8.2496607869742195E-2</v>
      </c>
      <c r="K32" s="10">
        <f t="shared" si="3"/>
        <v>0.55427408412483037</v>
      </c>
      <c r="L32" s="9">
        <f t="shared" si="4"/>
        <v>0.22711991034740381</v>
      </c>
      <c r="M32" s="9">
        <f t="shared" si="5"/>
        <v>1.243531202435312</v>
      </c>
      <c r="N32" s="65">
        <f t="shared" si="6"/>
        <v>2.1609924731781836E-2</v>
      </c>
      <c r="O32" s="8">
        <f>SUMIF('Full 1801-31 data set'!$D$4:$D$484,31,'Full 1801-31 data set'!Z$4:Z$484)</f>
        <v>7749</v>
      </c>
      <c r="P32" s="8">
        <f>SUMIF('Full 1801-31 data set'!$D$4:$D$484,31,'Full 1801-31 data set'!AA$4:AA$484)</f>
        <v>8890</v>
      </c>
      <c r="Q32" s="8">
        <f>SUMIF('Full 1801-31 data set'!$D$4:$D$484,31,'Full 1801-31 data set'!AB$4:AB$484)</f>
        <v>9567</v>
      </c>
      <c r="R32" s="17">
        <f t="shared" si="7"/>
        <v>1.0514246947082768</v>
      </c>
      <c r="S32" s="17">
        <f t="shared" si="8"/>
        <v>1.1472448057813911</v>
      </c>
      <c r="T32" s="17">
        <f t="shared" si="9"/>
        <v>1.0761529808773904</v>
      </c>
      <c r="U32" s="17">
        <f t="shared" si="10"/>
        <v>1.298100407055631</v>
      </c>
      <c r="V32" s="18">
        <f t="shared" si="11"/>
        <v>8205.4</v>
      </c>
      <c r="W32" s="73">
        <f>SUMIF('Full 1801-31 data set'!$D$4:$D$484,31,'Full 1801-31 data set'!AH$4:AH$484)</f>
        <v>48820</v>
      </c>
      <c r="X32" s="70">
        <f t="shared" si="12"/>
        <v>5.9497404148487583</v>
      </c>
      <c r="Y32" s="17">
        <f t="shared" si="13"/>
        <v>1.265158667226608</v>
      </c>
    </row>
    <row r="33" spans="1:25" x14ac:dyDescent="0.2">
      <c r="A33" s="4" t="s">
        <v>116</v>
      </c>
      <c r="B33" s="8">
        <f>SUMIF('Full 1801-31 data set'!$D$4:$D$484,32,'Full 1801-31 data set'!M$4:M$484)</f>
        <v>6039</v>
      </c>
      <c r="C33" s="8">
        <f>SUMIF('Full 1801-31 data set'!$D$4:$D$484,32,'Full 1801-31 data set'!N$4:N$484)</f>
        <v>7873</v>
      </c>
      <c r="D33" s="8">
        <f>SUMIF('Full 1801-31 data set'!$D$4:$D$484,32,'Full 1801-31 data set'!O$4:O$484)</f>
        <v>6779</v>
      </c>
      <c r="E33" s="8">
        <f>SUMIF('Full 1801-31 data set'!$D$4:$D$484,32,'Full 1801-31 data set'!P$4:P$484)</f>
        <v>8343</v>
      </c>
      <c r="F33" s="8">
        <f>SUMIF('Full 1801-31 data set'!$D$4:$D$484,32,'Full 1801-31 data set'!Q$4:Q$484)</f>
        <v>20948</v>
      </c>
      <c r="G33" s="8">
        <f>SUMIF('Full 1801-31 data set'!$D$4:$D$484,32,'Full 1801-31 data set'!R$4:R$484)</f>
        <v>36070</v>
      </c>
      <c r="H33" s="9">
        <f t="shared" si="0"/>
        <v>4.5814810110504256</v>
      </c>
      <c r="I33" s="10">
        <f t="shared" si="1"/>
        <v>0.18794011644025507</v>
      </c>
      <c r="J33" s="10">
        <f t="shared" si="2"/>
        <v>0.23130024951483227</v>
      </c>
      <c r="K33" s="10">
        <f t="shared" si="3"/>
        <v>0.58075963404491271</v>
      </c>
      <c r="L33" s="9">
        <f t="shared" si="4"/>
        <v>1.2307124944682106</v>
      </c>
      <c r="M33" s="9">
        <f t="shared" si="5"/>
        <v>1.3852664991403254</v>
      </c>
      <c r="N33" s="65">
        <f t="shared" si="6"/>
        <v>0.10576254885690242</v>
      </c>
      <c r="O33" s="8">
        <f>SUMIF('Full 1801-31 data set'!$D$4:$D$484,32,'Full 1801-31 data set'!Z$4:Z$484)</f>
        <v>38945</v>
      </c>
      <c r="P33" s="8">
        <f>SUMIF('Full 1801-31 data set'!$D$4:$D$484,32,'Full 1801-31 data set'!AA$4:AA$484)</f>
        <v>47034</v>
      </c>
      <c r="Q33" s="8">
        <f>SUMIF('Full 1801-31 data set'!$D$4:$D$484,32,'Full 1801-31 data set'!AB$4:AB$484)</f>
        <v>55620</v>
      </c>
      <c r="R33" s="17">
        <f t="shared" si="7"/>
        <v>1.0797061269753259</v>
      </c>
      <c r="S33" s="17">
        <f t="shared" si="8"/>
        <v>1.2077031711387856</v>
      </c>
      <c r="T33" s="17">
        <f t="shared" si="9"/>
        <v>1.1825487944890929</v>
      </c>
      <c r="U33" s="17">
        <f t="shared" si="10"/>
        <v>1.5420016634322151</v>
      </c>
      <c r="V33" s="18">
        <f t="shared" si="11"/>
        <v>42180.600000000006</v>
      </c>
      <c r="W33" s="73">
        <f>SUMIF('Full 1801-31 data set'!$D$4:$D$484,32,'Full 1801-31 data set'!AH$4:AH$484)</f>
        <v>168990</v>
      </c>
      <c r="X33" s="70">
        <f t="shared" si="12"/>
        <v>4.0063441487318805</v>
      </c>
      <c r="Y33" s="17">
        <f t="shared" si="13"/>
        <v>0.85191296934751903</v>
      </c>
    </row>
    <row r="35" spans="1:25" x14ac:dyDescent="0.2">
      <c r="A35" s="15" t="s">
        <v>514</v>
      </c>
      <c r="B35" s="20"/>
      <c r="G35" s="18">
        <f>SUM(G2:G33)</f>
        <v>341047</v>
      </c>
      <c r="V35" s="18">
        <f t="shared" ref="V35:W35" si="14">SUM(V2:V33)</f>
        <v>402889.60000000009</v>
      </c>
      <c r="W35" s="73">
        <f t="shared" si="14"/>
        <v>1894694</v>
      </c>
      <c r="X35" s="70">
        <f>W35/V35</f>
        <v>4.7027622455382305</v>
      </c>
      <c r="Y35" s="72"/>
    </row>
    <row r="37" spans="1:25" x14ac:dyDescent="0.2">
      <c r="A37" s="22" t="s">
        <v>643</v>
      </c>
    </row>
  </sheetData>
  <autoFilter ref="A1:Y33">
    <sortState ref="A2:Y33">
      <sortCondition ref="A1:A3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opLeftCell="A9" workbookViewId="0">
      <selection activeCell="M32" sqref="M32"/>
    </sheetView>
  </sheetViews>
  <sheetFormatPr defaultRowHeight="12.75" x14ac:dyDescent="0.2"/>
  <cols>
    <col min="1" max="1" width="15.5703125" bestFit="1" customWidth="1"/>
    <col min="2" max="2" width="9.140625" customWidth="1"/>
    <col min="23" max="23" width="9.85546875" customWidth="1"/>
  </cols>
  <sheetData>
    <row r="1" spans="1:25" x14ac:dyDescent="0.2">
      <c r="A1" s="21" t="s">
        <v>549</v>
      </c>
      <c r="B1" s="19" t="s">
        <v>521</v>
      </c>
      <c r="C1" s="3" t="s">
        <v>443</v>
      </c>
      <c r="D1" s="3" t="s">
        <v>444</v>
      </c>
      <c r="E1" s="3" t="s">
        <v>445</v>
      </c>
      <c r="F1" s="3" t="s">
        <v>446</v>
      </c>
      <c r="G1" s="11" t="s">
        <v>603</v>
      </c>
      <c r="H1" s="3" t="s">
        <v>450</v>
      </c>
      <c r="I1" s="3" t="s">
        <v>451</v>
      </c>
      <c r="J1" s="3" t="s">
        <v>452</v>
      </c>
      <c r="K1" s="3" t="s">
        <v>453</v>
      </c>
      <c r="L1" s="3" t="s">
        <v>454</v>
      </c>
      <c r="M1" s="3" t="s">
        <v>455</v>
      </c>
      <c r="N1" s="19" t="s">
        <v>604</v>
      </c>
      <c r="O1" s="19" t="s">
        <v>605</v>
      </c>
      <c r="P1" s="19" t="s">
        <v>606</v>
      </c>
      <c r="Q1" s="19" t="s">
        <v>607</v>
      </c>
      <c r="R1" s="19" t="s">
        <v>608</v>
      </c>
      <c r="S1" s="19" t="s">
        <v>609</v>
      </c>
      <c r="T1" s="19" t="s">
        <v>610</v>
      </c>
      <c r="U1" s="19" t="s">
        <v>611</v>
      </c>
      <c r="V1" s="19" t="s">
        <v>612</v>
      </c>
      <c r="W1" s="19" t="s">
        <v>613</v>
      </c>
      <c r="X1" s="19" t="s">
        <v>614</v>
      </c>
      <c r="Y1" s="19" t="s">
        <v>615</v>
      </c>
    </row>
    <row r="2" spans="1:25" x14ac:dyDescent="0.2">
      <c r="A2" s="4" t="s">
        <v>172</v>
      </c>
      <c r="B2" s="8">
        <f>SUMIF('Full 1801-31 data set'!$H$4:$H$484,1,'Full 1801-31 data set'!M$4:M$484)</f>
        <v>4328</v>
      </c>
      <c r="C2" s="8">
        <f>SUMIF('Full 1801-31 data set'!$H$4:$H$484,1,'Full 1801-31 data set'!N$4:N$484)</f>
        <v>4976</v>
      </c>
      <c r="D2" s="8">
        <f>SUMIF('Full 1801-31 data set'!$H$4:$H$484,1,'Full 1801-31 data set'!O$4:O$484)</f>
        <v>8625</v>
      </c>
      <c r="E2" s="8">
        <f>SUMIF('Full 1801-31 data set'!$H$4:$H$484,1,'Full 1801-31 data set'!P$4:P$484)</f>
        <v>3925</v>
      </c>
      <c r="F2" s="8">
        <f>SUMIF('Full 1801-31 data set'!$H$4:$H$484,1,'Full 1801-31 data set'!Q$4:Q$484)</f>
        <v>9248</v>
      </c>
      <c r="G2" s="8">
        <f>SUMIF('Full 1801-31 data set'!$H$4:$H$484,1,'Full 1801-31 data set'!R$4:R$484)</f>
        <v>21798</v>
      </c>
      <c r="H2" s="9">
        <f t="shared" ref="H2:H27" si="0">G2/C2</f>
        <v>4.380627009646302</v>
      </c>
      <c r="I2" s="10">
        <f t="shared" ref="I2:I27" si="1">D2/G2</f>
        <v>0.39567850261491883</v>
      </c>
      <c r="J2" s="10">
        <f t="shared" ref="J2:J27" si="2">E2/G2</f>
        <v>0.18006239104505001</v>
      </c>
      <c r="K2" s="10">
        <f t="shared" ref="K2:K27" si="3">F2/G2</f>
        <v>0.42425910634003122</v>
      </c>
      <c r="L2" s="9">
        <f t="shared" ref="L2:L27" si="4">E2/D2</f>
        <v>0.45507246376811594</v>
      </c>
      <c r="M2" s="9">
        <f t="shared" ref="M2:M27" si="5">F2/(D2+E2)</f>
        <v>0.73689243027888451</v>
      </c>
      <c r="N2" s="65">
        <f t="shared" ref="N2:N27" si="6">G2/G$29</f>
        <v>6.3914944274542806E-2</v>
      </c>
      <c r="O2" s="8">
        <f>SUMIF('Full 1801-31 data set'!$H$4:$H$484,1,'Full 1801-31 data set'!Z$4:Z$484)</f>
        <v>24205</v>
      </c>
      <c r="P2" s="8">
        <f>SUMIF('Full 1801-31 data set'!$H$4:$H$484,1,'Full 1801-31 data set'!AA$4:AA$484)</f>
        <v>29387</v>
      </c>
      <c r="Q2" s="8">
        <f>SUMIF('Full 1801-31 data set'!$H$4:$H$484,1,'Full 1801-31 data set'!AB$4:AB$484)</f>
        <v>32381</v>
      </c>
      <c r="R2" s="17">
        <f t="shared" ref="R2:R27" si="7">O2/G2</f>
        <v>1.1104229745848242</v>
      </c>
      <c r="S2" s="17">
        <f t="shared" ref="S2:S27" si="8">P2/O2</f>
        <v>1.2140879983474488</v>
      </c>
      <c r="T2" s="17">
        <f t="shared" ref="T2:T27" si="9">Q2/P2</f>
        <v>1.1018817844625175</v>
      </c>
      <c r="U2" s="17">
        <f t="shared" ref="U2:U27" si="10">Q2/G2</f>
        <v>1.4855032571795577</v>
      </c>
      <c r="V2" s="18">
        <f t="shared" ref="V2:V27" si="11">0.6*O2+0.4*P2</f>
        <v>26277.800000000003</v>
      </c>
      <c r="W2" s="73">
        <f>SUMIF('Full 1801-31 data set'!$H$4:$H$484,1,'Full 1801-31 data set'!AH$4:AH$484)</f>
        <v>152028</v>
      </c>
      <c r="X2" s="70">
        <f t="shared" ref="X2:X27" si="12">W2/V2</f>
        <v>5.7854158262868269</v>
      </c>
      <c r="Y2" s="74">
        <f t="shared" ref="Y2:Y27" si="13">X2/X$29</f>
        <v>1.2302165247192258</v>
      </c>
    </row>
    <row r="3" spans="1:25" x14ac:dyDescent="0.2">
      <c r="A3" s="4" t="s">
        <v>350</v>
      </c>
      <c r="B3" s="8">
        <f>SUMIF('Full 1801-31 data set'!$H$4:$H$484,2,'Full 1801-31 data set'!M$4:M$484)</f>
        <v>2262</v>
      </c>
      <c r="C3" s="8">
        <f>SUMIF('Full 1801-31 data set'!$H$4:$H$484,2,'Full 1801-31 data set'!N$4:N$484)</f>
        <v>2642</v>
      </c>
      <c r="D3" s="8">
        <f>SUMIF('Full 1801-31 data set'!$H$4:$H$484,2,'Full 1801-31 data set'!O$4:O$484)</f>
        <v>3996</v>
      </c>
      <c r="E3" s="8">
        <f>SUMIF('Full 1801-31 data set'!$H$4:$H$484,2,'Full 1801-31 data set'!P$4:P$484)</f>
        <v>1535</v>
      </c>
      <c r="F3" s="8">
        <f>SUMIF('Full 1801-31 data set'!$H$4:$H$484,2,'Full 1801-31 data set'!Q$4:Q$484)</f>
        <v>7404</v>
      </c>
      <c r="G3" s="8">
        <f>SUMIF('Full 1801-31 data set'!$H$4:$H$484,2,'Full 1801-31 data set'!R$4:R$484)</f>
        <v>12935</v>
      </c>
      <c r="H3" s="9">
        <f t="shared" si="0"/>
        <v>4.8959121877365632</v>
      </c>
      <c r="I3" s="10">
        <f t="shared" si="1"/>
        <v>0.30892926169308077</v>
      </c>
      <c r="J3" s="10">
        <f t="shared" si="2"/>
        <v>0.11867027444916892</v>
      </c>
      <c r="K3" s="10">
        <f t="shared" si="3"/>
        <v>0.57240046385775034</v>
      </c>
      <c r="L3" s="9">
        <f t="shared" si="4"/>
        <v>0.38413413413413411</v>
      </c>
      <c r="M3" s="9">
        <f t="shared" si="5"/>
        <v>1.3386367745434822</v>
      </c>
      <c r="N3" s="65">
        <f t="shared" si="6"/>
        <v>3.7927323799945463E-2</v>
      </c>
      <c r="O3" s="8">
        <f>SUMIF('Full 1801-31 data set'!$H$4:$H$484,2,'Full 1801-31 data set'!Z$4:Z$484)</f>
        <v>14247</v>
      </c>
      <c r="P3" s="8">
        <f>SUMIF('Full 1801-31 data set'!$H$4:$H$484,2,'Full 1801-31 data set'!AA$4:AA$484)</f>
        <v>17027</v>
      </c>
      <c r="Q3" s="8">
        <f>SUMIF('Full 1801-31 data set'!$H$4:$H$484,2,'Full 1801-31 data set'!AB$4:AB$484)</f>
        <v>20504</v>
      </c>
      <c r="R3" s="17">
        <f t="shared" si="7"/>
        <v>1.1014302280633939</v>
      </c>
      <c r="S3" s="17">
        <f t="shared" si="8"/>
        <v>1.1951287990454131</v>
      </c>
      <c r="T3" s="17">
        <f t="shared" si="9"/>
        <v>1.204205086039819</v>
      </c>
      <c r="U3" s="17">
        <f t="shared" si="10"/>
        <v>1.5851565519907229</v>
      </c>
      <c r="V3" s="18">
        <f t="shared" si="11"/>
        <v>15359</v>
      </c>
      <c r="W3" s="73">
        <f>SUMIF('Full 1801-31 data set'!$H$4:$H$484,2,'Full 1801-31 data set'!AH$4:AH$484)</f>
        <v>62622</v>
      </c>
      <c r="X3" s="70">
        <f t="shared" si="12"/>
        <v>4.0772185689172469</v>
      </c>
      <c r="Y3" s="74">
        <f t="shared" si="13"/>
        <v>0.86698377592563325</v>
      </c>
    </row>
    <row r="4" spans="1:25" x14ac:dyDescent="0.2">
      <c r="A4" s="4" t="s">
        <v>201</v>
      </c>
      <c r="B4" s="8">
        <f>SUMIF('Full 1801-31 data set'!$H$4:$H$484,3,'Full 1801-31 data set'!M$4:M$484)</f>
        <v>2964</v>
      </c>
      <c r="C4" s="8">
        <f>SUMIF('Full 1801-31 data set'!$H$4:$H$484,3,'Full 1801-31 data set'!N$4:N$484)</f>
        <v>3074</v>
      </c>
      <c r="D4" s="8">
        <f>SUMIF('Full 1801-31 data set'!$H$4:$H$484,3,'Full 1801-31 data set'!O$4:O$484)</f>
        <v>5731</v>
      </c>
      <c r="E4" s="8">
        <f>SUMIF('Full 1801-31 data set'!$H$4:$H$484,3,'Full 1801-31 data set'!P$4:P$484)</f>
        <v>5164</v>
      </c>
      <c r="F4" s="8">
        <f>SUMIF('Full 1801-31 data set'!$H$4:$H$484,3,'Full 1801-31 data set'!Q$4:Q$484)</f>
        <v>4202</v>
      </c>
      <c r="G4" s="8">
        <f>SUMIF('Full 1801-31 data set'!$H$4:$H$484,3,'Full 1801-31 data set'!R$4:R$484)</f>
        <v>15097</v>
      </c>
      <c r="H4" s="9">
        <f t="shared" si="0"/>
        <v>4.9111906310995446</v>
      </c>
      <c r="I4" s="10">
        <f t="shared" si="1"/>
        <v>0.37961184341259852</v>
      </c>
      <c r="J4" s="10">
        <f t="shared" si="2"/>
        <v>0.34205471285685896</v>
      </c>
      <c r="K4" s="10">
        <f t="shared" si="3"/>
        <v>0.27833344373054247</v>
      </c>
      <c r="L4" s="9">
        <f t="shared" si="4"/>
        <v>0.90106438666899324</v>
      </c>
      <c r="M4" s="9">
        <f t="shared" si="5"/>
        <v>0.38568150527765027</v>
      </c>
      <c r="N4" s="65">
        <f t="shared" si="6"/>
        <v>4.4266626007559075E-2</v>
      </c>
      <c r="O4" s="8">
        <f>SUMIF('Full 1801-31 data set'!$H$4:$H$484,3,'Full 1801-31 data set'!Z$4:Z$484)</f>
        <v>15762</v>
      </c>
      <c r="P4" s="8">
        <f>SUMIF('Full 1801-31 data set'!$H$4:$H$484,3,'Full 1801-31 data set'!AA$4:AA$484)</f>
        <v>17020</v>
      </c>
      <c r="Q4" s="8">
        <f>SUMIF('Full 1801-31 data set'!$H$4:$H$484,3,'Full 1801-31 data set'!AB$4:AB$484)</f>
        <v>18248</v>
      </c>
      <c r="R4" s="17">
        <f t="shared" si="7"/>
        <v>1.0440484864542625</v>
      </c>
      <c r="S4" s="17">
        <f t="shared" si="8"/>
        <v>1.07981220657277</v>
      </c>
      <c r="T4" s="17">
        <f t="shared" si="9"/>
        <v>1.072150411280846</v>
      </c>
      <c r="U4" s="17">
        <f t="shared" si="10"/>
        <v>1.2087169636351593</v>
      </c>
      <c r="V4" s="18">
        <f t="shared" si="11"/>
        <v>16265.199999999999</v>
      </c>
      <c r="W4" s="73">
        <f>SUMIF('Full 1801-31 data set'!$H$4:$H$484,3,'Full 1801-31 data set'!AH$4:AH$484)</f>
        <v>77977</v>
      </c>
      <c r="X4" s="70">
        <f t="shared" si="12"/>
        <v>4.7941002877308616</v>
      </c>
      <c r="Y4" s="74">
        <f t="shared" si="13"/>
        <v>1.0194222113353246</v>
      </c>
    </row>
    <row r="5" spans="1:25" x14ac:dyDescent="0.2">
      <c r="A5" s="4" t="s">
        <v>432</v>
      </c>
      <c r="B5" s="8">
        <f>SUMIF('Full 1801-31 data set'!$H$4:$H$484,4,'Full 1801-31 data set'!M$4:M$484)</f>
        <v>2881</v>
      </c>
      <c r="C5" s="8">
        <f>SUMIF('Full 1801-31 data set'!$H$4:$H$484,4,'Full 1801-31 data set'!N$4:N$484)</f>
        <v>4157</v>
      </c>
      <c r="D5" s="8">
        <f>SUMIF('Full 1801-31 data set'!$H$4:$H$484,4,'Full 1801-31 data set'!O$4:O$484)</f>
        <v>694</v>
      </c>
      <c r="E5" s="8">
        <f>SUMIF('Full 1801-31 data set'!$H$4:$H$484,4,'Full 1801-31 data set'!P$4:P$484)</f>
        <v>4749</v>
      </c>
      <c r="F5" s="8">
        <f>SUMIF('Full 1801-31 data set'!$H$4:$H$484,4,'Full 1801-31 data set'!Q$4:Q$484)</f>
        <v>12921</v>
      </c>
      <c r="G5" s="8">
        <f>SUMIF('Full 1801-31 data set'!$H$4:$H$484,4,'Full 1801-31 data set'!R$4:R$484)</f>
        <v>18364</v>
      </c>
      <c r="H5" s="9">
        <f t="shared" si="0"/>
        <v>4.4176088525378878</v>
      </c>
      <c r="I5" s="10">
        <f t="shared" si="1"/>
        <v>3.7791330864735351E-2</v>
      </c>
      <c r="J5" s="10">
        <f t="shared" si="2"/>
        <v>0.25860379002395995</v>
      </c>
      <c r="K5" s="10">
        <f t="shared" si="3"/>
        <v>0.70360487911130476</v>
      </c>
      <c r="L5" s="9">
        <f t="shared" si="4"/>
        <v>6.8429394812680115</v>
      </c>
      <c r="M5" s="9">
        <f t="shared" si="5"/>
        <v>2.3738747014514057</v>
      </c>
      <c r="N5" s="65">
        <f t="shared" si="6"/>
        <v>5.3845950851348932E-2</v>
      </c>
      <c r="O5" s="8">
        <f>SUMIF('Full 1801-31 data set'!$H$4:$H$484,4,'Full 1801-31 data set'!Z$4:Z$484)</f>
        <v>20020</v>
      </c>
      <c r="P5" s="8">
        <f>SUMIF('Full 1801-31 data set'!$H$4:$H$484,4,'Full 1801-31 data set'!AA$4:AA$484)</f>
        <v>24938</v>
      </c>
      <c r="Q5" s="8">
        <f>SUMIF('Full 1801-31 data set'!$H$4:$H$484,4,'Full 1801-31 data set'!AB$4:AB$484)</f>
        <v>30600</v>
      </c>
      <c r="R5" s="17">
        <f t="shared" si="7"/>
        <v>1.0901764321498584</v>
      </c>
      <c r="S5" s="17">
        <f t="shared" si="8"/>
        <v>1.2456543456543456</v>
      </c>
      <c r="T5" s="17">
        <f t="shared" si="9"/>
        <v>1.227043066805678</v>
      </c>
      <c r="U5" s="17">
        <f t="shared" si="10"/>
        <v>1.6663036375517317</v>
      </c>
      <c r="V5" s="18">
        <f t="shared" si="11"/>
        <v>21987.200000000001</v>
      </c>
      <c r="W5" s="73">
        <f>SUMIF('Full 1801-31 data set'!$H$4:$H$484,4,'Full 1801-31 data set'!AH$4:AH$484)</f>
        <v>68700</v>
      </c>
      <c r="X5" s="70">
        <f t="shared" si="12"/>
        <v>3.1245451899286856</v>
      </c>
      <c r="Y5" s="74">
        <f t="shared" si="13"/>
        <v>0.66440636944661879</v>
      </c>
    </row>
    <row r="6" spans="1:25" x14ac:dyDescent="0.2">
      <c r="A6" s="4" t="s">
        <v>69</v>
      </c>
      <c r="B6" s="8">
        <f>SUMIF('Full 1801-31 data set'!$H$4:$H$484,5,'Full 1801-31 data set'!M$4:M$484)</f>
        <v>1497</v>
      </c>
      <c r="C6" s="8">
        <f>SUMIF('Full 1801-31 data set'!$H$4:$H$484,5,'Full 1801-31 data set'!N$4:N$484)</f>
        <v>1611</v>
      </c>
      <c r="D6" s="8">
        <f>SUMIF('Full 1801-31 data set'!$H$4:$H$484,5,'Full 1801-31 data set'!O$4:O$484)</f>
        <v>3115</v>
      </c>
      <c r="E6" s="8">
        <f>SUMIF('Full 1801-31 data set'!$H$4:$H$484,5,'Full 1801-31 data set'!P$4:P$484)</f>
        <v>1880</v>
      </c>
      <c r="F6" s="8">
        <f>SUMIF('Full 1801-31 data set'!$H$4:$H$484,5,'Full 1801-31 data set'!Q$4:Q$484)</f>
        <v>2930</v>
      </c>
      <c r="G6" s="8">
        <f>SUMIF('Full 1801-31 data set'!$H$4:$H$484,5,'Full 1801-31 data set'!R$4:R$484)</f>
        <v>7925</v>
      </c>
      <c r="H6" s="9">
        <f t="shared" si="0"/>
        <v>4.9193047796399751</v>
      </c>
      <c r="I6" s="10">
        <f t="shared" si="1"/>
        <v>0.39305993690851737</v>
      </c>
      <c r="J6" s="10">
        <f t="shared" si="2"/>
        <v>0.23722397476340695</v>
      </c>
      <c r="K6" s="10">
        <f t="shared" si="3"/>
        <v>0.36971608832807573</v>
      </c>
      <c r="L6" s="9">
        <f t="shared" si="4"/>
        <v>0.6035313001605136</v>
      </c>
      <c r="M6" s="9">
        <f t="shared" si="5"/>
        <v>0.58658658658658658</v>
      </c>
      <c r="N6" s="65">
        <f t="shared" si="6"/>
        <v>2.3237266417825111E-2</v>
      </c>
      <c r="O6" s="8">
        <f>SUMIF('Full 1801-31 data set'!$H$4:$H$484,5,'Full 1801-31 data set'!Z$4:Z$484)</f>
        <v>7916</v>
      </c>
      <c r="P6" s="8">
        <f>SUMIF('Full 1801-31 data set'!$H$4:$H$484,5,'Full 1801-31 data set'!AA$4:AA$484)</f>
        <v>8779</v>
      </c>
      <c r="Q6" s="8">
        <f>SUMIF('Full 1801-31 data set'!$H$4:$H$484,5,'Full 1801-31 data set'!AB$4:AB$484)</f>
        <v>9444</v>
      </c>
      <c r="R6" s="17">
        <f t="shared" si="7"/>
        <v>0.99886435331230283</v>
      </c>
      <c r="S6" s="17">
        <f t="shared" si="8"/>
        <v>1.1090197069226881</v>
      </c>
      <c r="T6" s="17">
        <f t="shared" si="9"/>
        <v>1.0757489463492425</v>
      </c>
      <c r="U6" s="17">
        <f t="shared" si="10"/>
        <v>1.1916719242902207</v>
      </c>
      <c r="V6" s="18">
        <f t="shared" si="11"/>
        <v>8261.2000000000007</v>
      </c>
      <c r="W6" s="73">
        <f>SUMIF('Full 1801-31 data set'!$H$4:$H$484,5,'Full 1801-31 data set'!AH$4:AH$484)</f>
        <v>33712</v>
      </c>
      <c r="X6" s="70">
        <f t="shared" si="12"/>
        <v>4.0807630852660628</v>
      </c>
      <c r="Y6" s="74">
        <f t="shared" si="13"/>
        <v>0.86773748537632445</v>
      </c>
    </row>
    <row r="7" spans="1:25" x14ac:dyDescent="0.2">
      <c r="A7" s="7" t="s">
        <v>466</v>
      </c>
      <c r="B7" s="8">
        <f>SUMIF('Full 1801-31 data set'!$H$4:$H$484,26,'Full 1801-31 data set'!M$4:M$484)</f>
        <v>533</v>
      </c>
      <c r="C7" s="8">
        <f>SUMIF('Full 1801-31 data set'!$H$4:$H$484,26,'Full 1801-31 data set'!N$4:N$484)</f>
        <v>644</v>
      </c>
      <c r="D7" s="8">
        <f>SUMIF('Full 1801-31 data set'!$H$4:$H$484,26,'Full 1801-31 data set'!O$4:O$484)</f>
        <v>848</v>
      </c>
      <c r="E7" s="8">
        <f>SUMIF('Full 1801-31 data set'!$H$4:$H$484,26,'Full 1801-31 data set'!P$4:P$484)</f>
        <v>425</v>
      </c>
      <c r="F7" s="8">
        <f>SUMIF('Full 1801-31 data set'!$H$4:$H$484,26,'Full 1801-31 data set'!Q$4:Q$484)</f>
        <v>1860</v>
      </c>
      <c r="G7" s="8">
        <f>SUMIF('Full 1801-31 data set'!$H$4:$H$484,26,'Full 1801-31 data set'!R$4:R$484)</f>
        <v>3133</v>
      </c>
      <c r="H7" s="9">
        <f t="shared" si="0"/>
        <v>4.8649068322981366</v>
      </c>
      <c r="I7" s="10">
        <f t="shared" si="1"/>
        <v>0.27066709224385571</v>
      </c>
      <c r="J7" s="10">
        <f t="shared" si="2"/>
        <v>0.13565272901372485</v>
      </c>
      <c r="K7" s="10">
        <f t="shared" si="3"/>
        <v>0.59368017874241941</v>
      </c>
      <c r="L7" s="9">
        <f t="shared" si="4"/>
        <v>0.50117924528301883</v>
      </c>
      <c r="M7" s="9">
        <f t="shared" si="5"/>
        <v>1.4611154752553024</v>
      </c>
      <c r="N7" s="65">
        <f t="shared" si="6"/>
        <v>9.1864171213938261E-3</v>
      </c>
      <c r="O7" s="8">
        <f>SUMIF('Full 1801-31 data set'!$H$4:$H$484,26,'Full 1801-31 data set'!Z$4:Z$484)</f>
        <v>3226</v>
      </c>
      <c r="P7" s="8">
        <f>SUMIF('Full 1801-31 data set'!$H$4:$H$484,26,'Full 1801-31 data set'!AA$4:AA$484)</f>
        <v>3196</v>
      </c>
      <c r="Q7" s="8">
        <f>SUMIF('Full 1801-31 data set'!$H$4:$H$484,26,'Full 1801-31 data set'!AB$4:AB$484)</f>
        <v>3259</v>
      </c>
      <c r="R7" s="17">
        <f t="shared" si="7"/>
        <v>1.0296840089371209</v>
      </c>
      <c r="S7" s="17">
        <f t="shared" si="8"/>
        <v>0.99070055796652201</v>
      </c>
      <c r="T7" s="17">
        <f t="shared" si="9"/>
        <v>1.0197121401752189</v>
      </c>
      <c r="U7" s="17">
        <f t="shared" si="10"/>
        <v>1.040217044366422</v>
      </c>
      <c r="V7" s="18">
        <f t="shared" si="11"/>
        <v>3214</v>
      </c>
      <c r="W7" s="73">
        <f>SUMIF('Full 1801-31 data set'!$H$4:$H$484,26,'Full 1801-31 data set'!AH$4:AH$484)</f>
        <v>7146</v>
      </c>
      <c r="X7" s="70">
        <f t="shared" si="12"/>
        <v>2.2233976353453642</v>
      </c>
      <c r="Y7" s="74">
        <f t="shared" si="13"/>
        <v>0.47278546506466984</v>
      </c>
    </row>
    <row r="8" spans="1:25" x14ac:dyDescent="0.2">
      <c r="A8" s="4" t="s">
        <v>219</v>
      </c>
      <c r="B8" s="8">
        <f>SUMIF('Full 1801-31 data set'!$H$4:$H$484,6,'Full 1801-31 data set'!M$4:M$484)</f>
        <v>976</v>
      </c>
      <c r="C8" s="8">
        <f>SUMIF('Full 1801-31 data set'!$H$4:$H$484,6,'Full 1801-31 data set'!N$4:N$484)</f>
        <v>1178</v>
      </c>
      <c r="D8" s="8">
        <f>SUMIF('Full 1801-31 data set'!$H$4:$H$484,6,'Full 1801-31 data set'!O$4:O$484)</f>
        <v>2435</v>
      </c>
      <c r="E8" s="8">
        <f>SUMIF('Full 1801-31 data set'!$H$4:$H$484,6,'Full 1801-31 data set'!P$4:P$484)</f>
        <v>1114</v>
      </c>
      <c r="F8" s="8">
        <f>SUMIF('Full 1801-31 data set'!$H$4:$H$484,6,'Full 1801-31 data set'!Q$4:Q$484)</f>
        <v>2285</v>
      </c>
      <c r="G8" s="8">
        <f>SUMIF('Full 1801-31 data set'!$H$4:$H$484,6,'Full 1801-31 data set'!R$4:R$484)</f>
        <v>5834</v>
      </c>
      <c r="H8" s="9">
        <f t="shared" si="0"/>
        <v>4.9524617996604414</v>
      </c>
      <c r="I8" s="10">
        <f t="shared" si="1"/>
        <v>0.4173808707576277</v>
      </c>
      <c r="J8" s="10">
        <f t="shared" si="2"/>
        <v>0.19094960575934178</v>
      </c>
      <c r="K8" s="10">
        <f t="shared" si="3"/>
        <v>0.39166952348303052</v>
      </c>
      <c r="L8" s="9">
        <f t="shared" si="4"/>
        <v>0.45749486652977411</v>
      </c>
      <c r="M8" s="9">
        <f t="shared" si="5"/>
        <v>0.64384333615102851</v>
      </c>
      <c r="N8" s="65">
        <f t="shared" si="6"/>
        <v>1.7106146660137753E-2</v>
      </c>
      <c r="O8" s="8">
        <f>SUMIF('Full 1801-31 data set'!$H$4:$H$484,6,'Full 1801-31 data set'!Z$4:Z$484)</f>
        <v>5738</v>
      </c>
      <c r="P8" s="8">
        <f>SUMIF('Full 1801-31 data set'!$H$4:$H$484,6,'Full 1801-31 data set'!AA$4:AA$484)</f>
        <v>6686</v>
      </c>
      <c r="Q8" s="8">
        <f>SUMIF('Full 1801-31 data set'!$H$4:$H$484,6,'Full 1801-31 data set'!AB$4:AB$484)</f>
        <v>6911</v>
      </c>
      <c r="R8" s="17">
        <f t="shared" si="7"/>
        <v>0.98354473774425777</v>
      </c>
      <c r="S8" s="17">
        <f t="shared" si="8"/>
        <v>1.1652143604043221</v>
      </c>
      <c r="T8" s="17">
        <f t="shared" si="9"/>
        <v>1.0336524080167515</v>
      </c>
      <c r="U8" s="17">
        <f t="shared" si="10"/>
        <v>1.1846074734316079</v>
      </c>
      <c r="V8" s="18">
        <f t="shared" si="11"/>
        <v>6117.2</v>
      </c>
      <c r="W8" s="73">
        <f>SUMIF('Full 1801-31 data set'!$H$4:$H$484,6,'Full 1801-31 data set'!AH$4:AH$484)</f>
        <v>38772</v>
      </c>
      <c r="X8" s="70">
        <f t="shared" si="12"/>
        <v>6.3381939449421303</v>
      </c>
      <c r="Y8" s="74">
        <f t="shared" si="13"/>
        <v>1.3477598088135374</v>
      </c>
    </row>
    <row r="9" spans="1:25" x14ac:dyDescent="0.2">
      <c r="A9" s="4" t="s">
        <v>50</v>
      </c>
      <c r="B9" s="8">
        <f>SUMIF('Full 1801-31 data set'!$H$4:$H$484,7,'Full 1801-31 data set'!M$4:M$484)</f>
        <v>1475</v>
      </c>
      <c r="C9" s="8">
        <f>SUMIF('Full 1801-31 data set'!$H$4:$H$484,7,'Full 1801-31 data set'!N$4:N$484)</f>
        <v>1673</v>
      </c>
      <c r="D9" s="8">
        <f>SUMIF('Full 1801-31 data set'!$H$4:$H$484,7,'Full 1801-31 data set'!O$4:O$484)</f>
        <v>4538</v>
      </c>
      <c r="E9" s="8">
        <f>SUMIF('Full 1801-31 data set'!$H$4:$H$484,7,'Full 1801-31 data set'!P$4:P$484)</f>
        <v>561</v>
      </c>
      <c r="F9" s="8">
        <f>SUMIF('Full 1801-31 data set'!$H$4:$H$484,7,'Full 1801-31 data set'!Q$4:Q$484)</f>
        <v>3224</v>
      </c>
      <c r="G9" s="8">
        <f>SUMIF('Full 1801-31 data set'!$H$4:$H$484,7,'Full 1801-31 data set'!R$4:R$484)</f>
        <v>8323</v>
      </c>
      <c r="H9" s="9">
        <f t="shared" si="0"/>
        <v>4.97489539748954</v>
      </c>
      <c r="I9" s="10">
        <f t="shared" si="1"/>
        <v>0.54523609275501617</v>
      </c>
      <c r="J9" s="10">
        <f t="shared" si="2"/>
        <v>6.7403580439745286E-2</v>
      </c>
      <c r="K9" s="10">
        <f t="shared" si="3"/>
        <v>0.38736032680523852</v>
      </c>
      <c r="L9" s="9">
        <f t="shared" si="4"/>
        <v>0.12362274129572499</v>
      </c>
      <c r="M9" s="9">
        <f t="shared" si="5"/>
        <v>0.63228083938027069</v>
      </c>
      <c r="N9" s="65">
        <f t="shared" si="6"/>
        <v>2.4404260996284968E-2</v>
      </c>
      <c r="O9" s="8">
        <f>SUMIF('Full 1801-31 data set'!$H$4:$H$484,7,'Full 1801-31 data set'!Z$4:Z$484)</f>
        <v>8826</v>
      </c>
      <c r="P9" s="8">
        <f>SUMIF('Full 1801-31 data set'!$H$4:$H$484,7,'Full 1801-31 data set'!AA$4:AA$484)</f>
        <v>10376</v>
      </c>
      <c r="Q9" s="8">
        <f>SUMIF('Full 1801-31 data set'!$H$4:$H$484,7,'Full 1801-31 data set'!AB$4:AB$484)</f>
        <v>11609</v>
      </c>
      <c r="R9" s="17">
        <f t="shared" si="7"/>
        <v>1.0604349393247627</v>
      </c>
      <c r="S9" s="17">
        <f t="shared" si="8"/>
        <v>1.1756174937684114</v>
      </c>
      <c r="T9" s="17">
        <f t="shared" si="9"/>
        <v>1.1188319198149577</v>
      </c>
      <c r="U9" s="17">
        <f t="shared" si="10"/>
        <v>1.3948095638591853</v>
      </c>
      <c r="V9" s="18">
        <f t="shared" si="11"/>
        <v>9446</v>
      </c>
      <c r="W9" s="73">
        <f>SUMIF('Full 1801-31 data set'!$H$4:$H$484,7,'Full 1801-31 data set'!AH$4:AH$484)</f>
        <v>46360</v>
      </c>
      <c r="X9" s="70">
        <f t="shared" si="12"/>
        <v>4.9078975227609574</v>
      </c>
      <c r="Y9" s="74">
        <f t="shared" si="13"/>
        <v>1.0436201675764809</v>
      </c>
    </row>
    <row r="10" spans="1:25" x14ac:dyDescent="0.2">
      <c r="A10" s="4" t="s">
        <v>30</v>
      </c>
      <c r="B10" s="8">
        <f>SUMIF('Full 1801-31 data set'!$H$4:$H$484,8,'Full 1801-31 data set'!M$4:M$484)</f>
        <v>2336</v>
      </c>
      <c r="C10" s="8">
        <f>SUMIF('Full 1801-31 data set'!$H$4:$H$484,8,'Full 1801-31 data set'!N$4:N$484)</f>
        <v>2435</v>
      </c>
      <c r="D10" s="8">
        <f>SUMIF('Full 1801-31 data set'!$H$4:$H$484,8,'Full 1801-31 data set'!O$4:O$484)</f>
        <v>4111</v>
      </c>
      <c r="E10" s="8">
        <f>SUMIF('Full 1801-31 data set'!$H$4:$H$484,8,'Full 1801-31 data set'!P$4:P$484)</f>
        <v>987</v>
      </c>
      <c r="F10" s="8">
        <f>SUMIF('Full 1801-31 data set'!$H$4:$H$484,8,'Full 1801-31 data set'!Q$4:Q$484)</f>
        <v>7239</v>
      </c>
      <c r="G10" s="8">
        <f>SUMIF('Full 1801-31 data set'!$H$4:$H$484,8,'Full 1801-31 data set'!R$4:R$484)</f>
        <v>12337</v>
      </c>
      <c r="H10" s="9">
        <f t="shared" si="0"/>
        <v>5.0665297741273099</v>
      </c>
      <c r="I10" s="10">
        <f t="shared" si="1"/>
        <v>0.33322525735592123</v>
      </c>
      <c r="J10" s="10">
        <f t="shared" si="2"/>
        <v>8.0003242279322359E-2</v>
      </c>
      <c r="K10" s="10">
        <f t="shared" si="3"/>
        <v>0.58677150036475645</v>
      </c>
      <c r="L10" s="9">
        <f t="shared" si="4"/>
        <v>0.24008756993432254</v>
      </c>
      <c r="M10" s="9">
        <f t="shared" si="5"/>
        <v>1.4199686151431934</v>
      </c>
      <c r="N10" s="65">
        <f t="shared" si="6"/>
        <v>3.6173899785073613E-2</v>
      </c>
      <c r="O10" s="8">
        <f>SUMIF('Full 1801-31 data set'!$H$4:$H$484,8,'Full 1801-31 data set'!Z$4:Z$484)</f>
        <v>13504</v>
      </c>
      <c r="P10" s="8">
        <f>SUMIF('Full 1801-31 data set'!$H$4:$H$484,8,'Full 1801-31 data set'!AA$4:AA$484)</f>
        <v>16042</v>
      </c>
      <c r="Q10" s="8">
        <f>SUMIF('Full 1801-31 data set'!$H$4:$H$484,8,'Full 1801-31 data set'!AB$4:AB$484)</f>
        <v>17684</v>
      </c>
      <c r="R10" s="17">
        <f t="shared" si="7"/>
        <v>1.0945934992299586</v>
      </c>
      <c r="S10" s="17">
        <f t="shared" si="8"/>
        <v>1.1879443127962086</v>
      </c>
      <c r="T10" s="17">
        <f t="shared" si="9"/>
        <v>1.1023563146739808</v>
      </c>
      <c r="U10" s="17">
        <f t="shared" si="10"/>
        <v>1.4334116884169572</v>
      </c>
      <c r="V10" s="18">
        <f t="shared" si="11"/>
        <v>14519.2</v>
      </c>
      <c r="W10" s="73">
        <f>SUMIF('Full 1801-31 data set'!$H$4:$H$484,8,'Full 1801-31 data set'!AH$4:AH$484)</f>
        <v>54847</v>
      </c>
      <c r="X10" s="70">
        <f t="shared" si="12"/>
        <v>3.7775497272576999</v>
      </c>
      <c r="Y10" s="74">
        <f t="shared" si="13"/>
        <v>0.80326189801359149</v>
      </c>
    </row>
    <row r="11" spans="1:25" x14ac:dyDescent="0.2">
      <c r="A11" s="4" t="s">
        <v>138</v>
      </c>
      <c r="B11" s="8">
        <f>SUMIF('Full 1801-31 data set'!$H$4:$H$484,9,'Full 1801-31 data set'!M$4:M$484)</f>
        <v>1155</v>
      </c>
      <c r="C11" s="8">
        <f>SUMIF('Full 1801-31 data set'!$H$4:$H$484,9,'Full 1801-31 data set'!N$4:N$484)</f>
        <v>1339</v>
      </c>
      <c r="D11" s="8">
        <f>SUMIF('Full 1801-31 data set'!$H$4:$H$484,9,'Full 1801-31 data set'!O$4:O$484)</f>
        <v>3631</v>
      </c>
      <c r="E11" s="8">
        <f>SUMIF('Full 1801-31 data set'!$H$4:$H$484,9,'Full 1801-31 data set'!P$4:P$484)</f>
        <v>372</v>
      </c>
      <c r="F11" s="8">
        <f>SUMIF('Full 1801-31 data set'!$H$4:$H$484,9,'Full 1801-31 data set'!Q$4:Q$484)</f>
        <v>2933</v>
      </c>
      <c r="G11" s="8">
        <f>SUMIF('Full 1801-31 data set'!$H$4:$H$484,9,'Full 1801-31 data set'!R$4:R$484)</f>
        <v>6936</v>
      </c>
      <c r="H11" s="9">
        <f t="shared" si="0"/>
        <v>5.1799850634802089</v>
      </c>
      <c r="I11" s="10">
        <f t="shared" si="1"/>
        <v>0.52350057670126871</v>
      </c>
      <c r="J11" s="10">
        <f t="shared" si="2"/>
        <v>5.3633217993079588E-2</v>
      </c>
      <c r="K11" s="10">
        <f t="shared" si="3"/>
        <v>0.42286620530565167</v>
      </c>
      <c r="L11" s="9">
        <f t="shared" si="4"/>
        <v>0.10245111539520793</v>
      </c>
      <c r="M11" s="9">
        <f t="shared" si="5"/>
        <v>0.732700474644017</v>
      </c>
      <c r="N11" s="65">
        <f t="shared" si="6"/>
        <v>2.0337372854767818E-2</v>
      </c>
      <c r="O11" s="8">
        <f>SUMIF('Full 1801-31 data set'!$H$4:$H$484,9,'Full 1801-31 data set'!Z$4:Z$484)</f>
        <v>7830</v>
      </c>
      <c r="P11" s="8">
        <f>SUMIF('Full 1801-31 data set'!$H$4:$H$484,9,'Full 1801-31 data set'!AA$4:AA$484)</f>
        <v>9370</v>
      </c>
      <c r="Q11" s="8">
        <f>SUMIF('Full 1801-31 data set'!$H$4:$H$484,9,'Full 1801-31 data set'!AB$4:AB$484)</f>
        <v>10380</v>
      </c>
      <c r="R11" s="17">
        <f t="shared" si="7"/>
        <v>1.1288927335640138</v>
      </c>
      <c r="S11" s="17">
        <f t="shared" si="8"/>
        <v>1.1966794380587484</v>
      </c>
      <c r="T11" s="17">
        <f t="shared" si="9"/>
        <v>1.1077908217716115</v>
      </c>
      <c r="U11" s="17">
        <f t="shared" si="10"/>
        <v>1.4965397923875432</v>
      </c>
      <c r="V11" s="18">
        <f t="shared" si="11"/>
        <v>8446</v>
      </c>
      <c r="W11" s="73">
        <f>SUMIF('Full 1801-31 data set'!$H$4:$H$484,9,'Full 1801-31 data set'!AH$4:AH$484)</f>
        <v>32589</v>
      </c>
      <c r="X11" s="70">
        <f t="shared" si="12"/>
        <v>3.8585129055174048</v>
      </c>
      <c r="Y11" s="74">
        <f t="shared" si="13"/>
        <v>0.82047798805440075</v>
      </c>
    </row>
    <row r="12" spans="1:25" s="16" customFormat="1" x14ac:dyDescent="0.2">
      <c r="A12" s="4" t="s">
        <v>336</v>
      </c>
      <c r="B12" s="8">
        <f>SUMIF('Full 1801-31 data set'!$H$4:$H$484,10,'Full 1801-31 data set'!M$4:M$484)</f>
        <v>2631</v>
      </c>
      <c r="C12" s="8">
        <f>SUMIF('Full 1801-31 data set'!$H$4:$H$484,10,'Full 1801-31 data set'!N$4:N$484)</f>
        <v>2892</v>
      </c>
      <c r="D12" s="8">
        <f>SUMIF('Full 1801-31 data set'!$H$4:$H$484,10,'Full 1801-31 data set'!O$4:O$484)</f>
        <v>3880</v>
      </c>
      <c r="E12" s="8">
        <f>SUMIF('Full 1801-31 data set'!$H$4:$H$484,10,'Full 1801-31 data set'!P$4:P$484)</f>
        <v>3022</v>
      </c>
      <c r="F12" s="8">
        <f>SUMIF('Full 1801-31 data set'!$H$4:$H$484,10,'Full 1801-31 data set'!Q$4:Q$484)</f>
        <v>6960</v>
      </c>
      <c r="G12" s="8">
        <f>SUMIF('Full 1801-31 data set'!$H$4:$H$484,10,'Full 1801-31 data set'!R$4:R$484)</f>
        <v>13862</v>
      </c>
      <c r="H12" s="9">
        <f t="shared" si="0"/>
        <v>4.7932226832641769</v>
      </c>
      <c r="I12" s="10">
        <f t="shared" si="1"/>
        <v>0.2799018900591545</v>
      </c>
      <c r="J12" s="10">
        <f t="shared" si="2"/>
        <v>0.21800605973164044</v>
      </c>
      <c r="K12" s="10">
        <f t="shared" si="3"/>
        <v>0.502092050209205</v>
      </c>
      <c r="L12" s="9">
        <f t="shared" si="4"/>
        <v>0.77886597938144331</v>
      </c>
      <c r="M12" s="9">
        <f t="shared" si="5"/>
        <v>1.0084033613445378</v>
      </c>
      <c r="N12" s="65">
        <f t="shared" si="6"/>
        <v>4.0645424237715035E-2</v>
      </c>
      <c r="O12" s="8">
        <f>SUMIF('Full 1801-31 data set'!$H$4:$H$484,10,'Full 1801-31 data set'!Z$4:Z$484)</f>
        <v>14874</v>
      </c>
      <c r="P12" s="8">
        <f>SUMIF('Full 1801-31 data set'!$H$4:$H$484,10,'Full 1801-31 data set'!AA$4:AA$484)</f>
        <v>17128</v>
      </c>
      <c r="Q12" s="8">
        <f>SUMIF('Full 1801-31 data set'!$H$4:$H$484,10,'Full 1801-31 data set'!AB$4:AB$484)</f>
        <v>18112</v>
      </c>
      <c r="R12" s="17">
        <f t="shared" si="7"/>
        <v>1.0730053383350167</v>
      </c>
      <c r="S12" s="17">
        <f t="shared" si="8"/>
        <v>1.1515395993007933</v>
      </c>
      <c r="T12" s="17">
        <f t="shared" si="9"/>
        <v>1.0574497898178421</v>
      </c>
      <c r="U12" s="17">
        <f t="shared" si="10"/>
        <v>1.3065935651421152</v>
      </c>
      <c r="V12" s="18">
        <f t="shared" si="11"/>
        <v>15775.6</v>
      </c>
      <c r="W12" s="73">
        <f>SUMIF('Full 1801-31 data set'!$H$4:$H$484,10,'Full 1801-31 data set'!AH$4:AH$484)</f>
        <v>93373</v>
      </c>
      <c r="X12" s="70">
        <f t="shared" si="12"/>
        <v>5.9188240066938818</v>
      </c>
      <c r="Y12" s="74">
        <f t="shared" si="13"/>
        <v>1.2585845717183328</v>
      </c>
    </row>
    <row r="13" spans="1:25" x14ac:dyDescent="0.2">
      <c r="A13" s="4" t="s">
        <v>73</v>
      </c>
      <c r="B13" s="8">
        <f>SUMIF('Full 1801-31 data set'!$H$4:$H$484,11,'Full 1801-31 data set'!M$4:M$484)</f>
        <v>2857</v>
      </c>
      <c r="C13" s="8">
        <f>SUMIF('Full 1801-31 data set'!$H$4:$H$484,11,'Full 1801-31 data set'!N$4:N$484)</f>
        <v>3577</v>
      </c>
      <c r="D13" s="8">
        <f>SUMIF('Full 1801-31 data set'!$H$4:$H$484,11,'Full 1801-31 data set'!O$4:O$484)</f>
        <v>3857</v>
      </c>
      <c r="E13" s="8">
        <f>SUMIF('Full 1801-31 data set'!$H$4:$H$484,11,'Full 1801-31 data set'!P$4:P$484)</f>
        <v>2820</v>
      </c>
      <c r="F13" s="8">
        <f>SUMIF('Full 1801-31 data set'!$H$4:$H$484,11,'Full 1801-31 data set'!Q$4:Q$484)</f>
        <v>9896</v>
      </c>
      <c r="G13" s="8">
        <f>SUMIF('Full 1801-31 data set'!$H$4:$H$484,11,'Full 1801-31 data set'!R$4:R$484)</f>
        <v>16573</v>
      </c>
      <c r="H13" s="9">
        <f t="shared" si="0"/>
        <v>4.6332121889851834</v>
      </c>
      <c r="I13" s="10">
        <f t="shared" si="1"/>
        <v>0.23272793097206299</v>
      </c>
      <c r="J13" s="10">
        <f t="shared" si="2"/>
        <v>0.17015627828395583</v>
      </c>
      <c r="K13" s="10">
        <f t="shared" si="3"/>
        <v>0.59711579074398113</v>
      </c>
      <c r="L13" s="9">
        <f t="shared" si="4"/>
        <v>0.73113819030334459</v>
      </c>
      <c r="M13" s="9">
        <f t="shared" si="5"/>
        <v>1.4821027407518346</v>
      </c>
      <c r="N13" s="65">
        <f t="shared" si="6"/>
        <v>4.8594475248279562E-2</v>
      </c>
      <c r="O13" s="8">
        <f>SUMIF('Full 1801-31 data set'!$H$4:$H$484,11,'Full 1801-31 data set'!Z$4:Z$484)</f>
        <v>18148</v>
      </c>
      <c r="P13" s="8">
        <f>SUMIF('Full 1801-31 data set'!$H$4:$H$484,11,'Full 1801-31 data set'!AA$4:AA$484)</f>
        <v>19961</v>
      </c>
      <c r="Q13" s="8">
        <f>SUMIF('Full 1801-31 data set'!$H$4:$H$484,11,'Full 1801-31 data set'!AB$4:AB$484)</f>
        <v>23045</v>
      </c>
      <c r="R13" s="17">
        <f t="shared" si="7"/>
        <v>1.0950340915947625</v>
      </c>
      <c r="S13" s="17">
        <f t="shared" si="8"/>
        <v>1.0999008155168613</v>
      </c>
      <c r="T13" s="17">
        <f t="shared" si="9"/>
        <v>1.1545012774911076</v>
      </c>
      <c r="U13" s="17">
        <f t="shared" si="10"/>
        <v>1.390514692572256</v>
      </c>
      <c r="V13" s="18">
        <f t="shared" si="11"/>
        <v>18873.2</v>
      </c>
      <c r="W13" s="73">
        <f>SUMIF('Full 1801-31 data set'!$H$4:$H$484,11,'Full 1801-31 data set'!AH$4:AH$484)</f>
        <v>89591</v>
      </c>
      <c r="X13" s="70">
        <f t="shared" si="12"/>
        <v>4.7469957399910987</v>
      </c>
      <c r="Y13" s="74">
        <f t="shared" si="13"/>
        <v>1.009405853867019</v>
      </c>
    </row>
    <row r="14" spans="1:25" x14ac:dyDescent="0.2">
      <c r="A14" s="4" t="s">
        <v>106</v>
      </c>
      <c r="B14" s="8">
        <f>SUMIF('Full 1801-31 data set'!$H$4:$H$484,12,'Full 1801-31 data set'!M$4:M$484)</f>
        <v>3119</v>
      </c>
      <c r="C14" s="8">
        <f>SUMIF('Full 1801-31 data set'!$H$4:$H$484,12,'Full 1801-31 data set'!N$4:N$484)</f>
        <v>3582</v>
      </c>
      <c r="D14" s="8">
        <f>SUMIF('Full 1801-31 data set'!$H$4:$H$484,12,'Full 1801-31 data set'!O$4:O$484)</f>
        <v>3282</v>
      </c>
      <c r="E14" s="8">
        <f>SUMIF('Full 1801-31 data set'!$H$4:$H$484,12,'Full 1801-31 data set'!P$4:P$484)</f>
        <v>3586</v>
      </c>
      <c r="F14" s="8">
        <f>SUMIF('Full 1801-31 data set'!$H$4:$H$484,12,'Full 1801-31 data set'!Q$4:Q$484)</f>
        <v>8867</v>
      </c>
      <c r="G14" s="8">
        <f>SUMIF('Full 1801-31 data set'!$H$4:$H$484,12,'Full 1801-31 data set'!R$4:R$484)</f>
        <v>15735</v>
      </c>
      <c r="H14" s="9">
        <f t="shared" si="0"/>
        <v>4.3927973199329982</v>
      </c>
      <c r="I14" s="10">
        <f t="shared" si="1"/>
        <v>0.20857959961868447</v>
      </c>
      <c r="J14" s="10">
        <f t="shared" si="2"/>
        <v>0.2278995869081665</v>
      </c>
      <c r="K14" s="10">
        <f t="shared" si="3"/>
        <v>0.56352081347314908</v>
      </c>
      <c r="L14" s="9">
        <f t="shared" si="4"/>
        <v>1.092626447288239</v>
      </c>
      <c r="M14" s="9">
        <f t="shared" si="5"/>
        <v>1.2910599883517764</v>
      </c>
      <c r="N14" s="65">
        <f t="shared" si="6"/>
        <v>4.6137335909713327E-2</v>
      </c>
      <c r="O14" s="8">
        <f>SUMIF('Full 1801-31 data set'!$H$4:$H$484,12,'Full 1801-31 data set'!Z$4:Z$484)</f>
        <v>18148</v>
      </c>
      <c r="P14" s="8">
        <f>SUMIF('Full 1801-31 data set'!$H$4:$H$484,12,'Full 1801-31 data set'!AA$4:AA$484)</f>
        <v>22070</v>
      </c>
      <c r="Q14" s="8">
        <f>SUMIF('Full 1801-31 data set'!$H$4:$H$484,12,'Full 1801-31 data set'!AB$4:AB$484)</f>
        <v>25586</v>
      </c>
      <c r="R14" s="17">
        <f t="shared" si="7"/>
        <v>1.1533523991102637</v>
      </c>
      <c r="S14" s="17">
        <f t="shared" si="8"/>
        <v>1.2161119682609653</v>
      </c>
      <c r="T14" s="17">
        <f t="shared" si="9"/>
        <v>1.1593112822836429</v>
      </c>
      <c r="U14" s="17">
        <f t="shared" si="10"/>
        <v>1.6260565618048934</v>
      </c>
      <c r="V14" s="18">
        <f t="shared" si="11"/>
        <v>19716.8</v>
      </c>
      <c r="W14" s="73">
        <f>SUMIF('Full 1801-31 data set'!$H$4:$H$484,12,'Full 1801-31 data set'!AH$4:AH$484)</f>
        <v>94388</v>
      </c>
      <c r="X14" s="70">
        <f t="shared" si="12"/>
        <v>4.7871865617138685</v>
      </c>
      <c r="Y14" s="74">
        <f t="shared" si="13"/>
        <v>1.0179520698193352</v>
      </c>
    </row>
    <row r="15" spans="1:25" x14ac:dyDescent="0.2">
      <c r="A15" s="4" t="s">
        <v>426</v>
      </c>
      <c r="B15" s="8">
        <f>SUMIF('Full 1801-31 data set'!$H$4:$H$484,13,'Full 1801-31 data set'!M$4:M$484)</f>
        <v>2073</v>
      </c>
      <c r="C15" s="8">
        <f>SUMIF('Full 1801-31 data set'!$H$4:$H$484,13,'Full 1801-31 data set'!N$4:N$484)</f>
        <v>2408</v>
      </c>
      <c r="D15" s="8">
        <f>SUMIF('Full 1801-31 data set'!$H$4:$H$484,13,'Full 1801-31 data set'!O$4:O$484)</f>
        <v>3709</v>
      </c>
      <c r="E15" s="8">
        <f>SUMIF('Full 1801-31 data set'!$H$4:$H$484,13,'Full 1801-31 data set'!P$4:P$484)</f>
        <v>1744</v>
      </c>
      <c r="F15" s="8">
        <f>SUMIF('Full 1801-31 data set'!$H$4:$H$484,13,'Full 1801-31 data set'!Q$4:Q$484)</f>
        <v>6833</v>
      </c>
      <c r="G15" s="8">
        <f>SUMIF('Full 1801-31 data set'!$H$4:$H$484,13,'Full 1801-31 data set'!R$4:R$484)</f>
        <v>12286</v>
      </c>
      <c r="H15" s="9">
        <f t="shared" si="0"/>
        <v>5.1021594684385381</v>
      </c>
      <c r="I15" s="10">
        <f t="shared" si="1"/>
        <v>0.30188832817841443</v>
      </c>
      <c r="J15" s="10">
        <f t="shared" si="2"/>
        <v>0.14195018720494873</v>
      </c>
      <c r="K15" s="10">
        <f t="shared" si="3"/>
        <v>0.55616148461663684</v>
      </c>
      <c r="L15" s="9">
        <f t="shared" si="4"/>
        <v>0.47020760312752763</v>
      </c>
      <c r="M15" s="9">
        <f t="shared" si="5"/>
        <v>1.2530717036493673</v>
      </c>
      <c r="N15" s="65">
        <f t="shared" si="6"/>
        <v>3.6024360278788553E-2</v>
      </c>
      <c r="O15" s="8">
        <f>SUMIF('Full 1801-31 data set'!$H$4:$H$484,13,'Full 1801-31 data set'!Z$4:Z$484)</f>
        <v>12527</v>
      </c>
      <c r="P15" s="8">
        <f>SUMIF('Full 1801-31 data set'!$H$4:$H$484,13,'Full 1801-31 data set'!AA$4:AA$484)</f>
        <v>14048</v>
      </c>
      <c r="Q15" s="8">
        <f>SUMIF('Full 1801-31 data set'!$H$4:$H$484,13,'Full 1801-31 data set'!AB$4:AB$484)</f>
        <v>15563</v>
      </c>
      <c r="R15" s="17">
        <f t="shared" si="7"/>
        <v>1.0196158228878398</v>
      </c>
      <c r="S15" s="17">
        <f t="shared" si="8"/>
        <v>1.121417737686597</v>
      </c>
      <c r="T15" s="17">
        <f t="shared" si="9"/>
        <v>1.1078445330296127</v>
      </c>
      <c r="U15" s="17">
        <f t="shared" si="10"/>
        <v>1.2667263552010419</v>
      </c>
      <c r="V15" s="18">
        <f t="shared" si="11"/>
        <v>13135.400000000001</v>
      </c>
      <c r="W15" s="73">
        <f>SUMIF('Full 1801-31 data set'!$H$4:$H$484,13,'Full 1801-31 data set'!AH$4:AH$484)</f>
        <v>51355</v>
      </c>
      <c r="X15" s="70">
        <f t="shared" si="12"/>
        <v>3.9096639615085946</v>
      </c>
      <c r="Y15" s="74">
        <f t="shared" si="13"/>
        <v>0.83135479902644593</v>
      </c>
    </row>
    <row r="16" spans="1:25" x14ac:dyDescent="0.2">
      <c r="A16" s="4" t="s">
        <v>4</v>
      </c>
      <c r="B16" s="8">
        <f>SUMIF('Full 1801-31 data set'!$H$4:$H$484,14,'Full 1801-31 data set'!M$4:M$484)</f>
        <v>1294</v>
      </c>
      <c r="C16" s="8">
        <f>SUMIF('Full 1801-31 data set'!$H$4:$H$484,14,'Full 1801-31 data set'!N$4:N$484)</f>
        <v>1391</v>
      </c>
      <c r="D16" s="8">
        <f>SUMIF('Full 1801-31 data set'!$H$4:$H$484,14,'Full 1801-31 data set'!O$4:O$484)</f>
        <v>3002</v>
      </c>
      <c r="E16" s="8">
        <f>SUMIF('Full 1801-31 data set'!$H$4:$H$484,14,'Full 1801-31 data set'!P$4:P$484)</f>
        <v>879</v>
      </c>
      <c r="F16" s="8">
        <f>SUMIF('Full 1801-31 data set'!$H$4:$H$484,14,'Full 1801-31 data set'!Q$4:Q$484)</f>
        <v>3273</v>
      </c>
      <c r="G16" s="8">
        <f>SUMIF('Full 1801-31 data set'!$H$4:$H$484,14,'Full 1801-31 data set'!R$4:R$484)</f>
        <v>7154</v>
      </c>
      <c r="H16" s="9">
        <f t="shared" si="0"/>
        <v>5.1430625449317038</v>
      </c>
      <c r="I16" s="10">
        <f t="shared" si="1"/>
        <v>0.41962538440033548</v>
      </c>
      <c r="J16" s="10">
        <f t="shared" si="2"/>
        <v>0.12286832541235672</v>
      </c>
      <c r="K16" s="10">
        <f t="shared" si="3"/>
        <v>0.45750629018730782</v>
      </c>
      <c r="L16" s="9">
        <f t="shared" si="4"/>
        <v>0.29280479680213189</v>
      </c>
      <c r="M16" s="9">
        <f t="shared" si="5"/>
        <v>0.84333934552950274</v>
      </c>
      <c r="N16" s="65">
        <f t="shared" si="6"/>
        <v>2.0976580940456888E-2</v>
      </c>
      <c r="O16" s="8">
        <f>SUMIF('Full 1801-31 data set'!$H$4:$H$484,14,'Full 1801-31 data set'!Z$4:Z$484)</f>
        <v>7843</v>
      </c>
      <c r="P16" s="8">
        <f>SUMIF('Full 1801-31 data set'!$H$4:$H$484,14,'Full 1801-31 data set'!AA$4:AA$484)</f>
        <v>9244</v>
      </c>
      <c r="Q16" s="8">
        <f>SUMIF('Full 1801-31 data set'!$H$4:$H$484,14,'Full 1801-31 data set'!AB$4:AB$484)</f>
        <v>10157</v>
      </c>
      <c r="R16" s="17">
        <f t="shared" si="7"/>
        <v>1.096309756779424</v>
      </c>
      <c r="S16" s="17">
        <f t="shared" si="8"/>
        <v>1.1786306260359556</v>
      </c>
      <c r="T16" s="17">
        <f t="shared" si="9"/>
        <v>1.0987667676330592</v>
      </c>
      <c r="U16" s="17">
        <f t="shared" si="10"/>
        <v>1.4197651663405089</v>
      </c>
      <c r="V16" s="18">
        <f t="shared" si="11"/>
        <v>8403.4000000000015</v>
      </c>
      <c r="W16" s="73">
        <f>SUMIF('Full 1801-31 data set'!$H$4:$H$484,14,'Full 1801-31 data set'!AH$4:AH$484)</f>
        <v>32583</v>
      </c>
      <c r="X16" s="70">
        <f t="shared" si="12"/>
        <v>3.8773591641478444</v>
      </c>
      <c r="Y16" s="74">
        <f t="shared" si="13"/>
        <v>0.82448547506872305</v>
      </c>
    </row>
    <row r="17" spans="1:25" x14ac:dyDescent="0.2">
      <c r="A17" s="4" t="s">
        <v>330</v>
      </c>
      <c r="B17" s="8">
        <f>SUMIF('Full 1801-31 data set'!$H$4:$H$484,15,'Full 1801-31 data set'!M$4:M$484)</f>
        <v>2265</v>
      </c>
      <c r="C17" s="8">
        <f>SUMIF('Full 1801-31 data set'!$H$4:$H$484,15,'Full 1801-31 data set'!N$4:N$484)</f>
        <v>2607</v>
      </c>
      <c r="D17" s="8">
        <f>SUMIF('Full 1801-31 data set'!$H$4:$H$484,15,'Full 1801-31 data set'!O$4:O$484)</f>
        <v>3851</v>
      </c>
      <c r="E17" s="8">
        <f>SUMIF('Full 1801-31 data set'!$H$4:$H$484,15,'Full 1801-31 data set'!P$4:P$484)</f>
        <v>2057</v>
      </c>
      <c r="F17" s="8">
        <f>SUMIF('Full 1801-31 data set'!$H$4:$H$484,15,'Full 1801-31 data set'!Q$4:Q$484)</f>
        <v>7572</v>
      </c>
      <c r="G17" s="8">
        <f>SUMIF('Full 1801-31 data set'!$H$4:$H$484,15,'Full 1801-31 data set'!R$4:R$484)</f>
        <v>13480</v>
      </c>
      <c r="H17" s="9">
        <f t="shared" si="0"/>
        <v>5.1706942846183352</v>
      </c>
      <c r="I17" s="10">
        <f t="shared" si="1"/>
        <v>0.28568249258160239</v>
      </c>
      <c r="J17" s="10">
        <f t="shared" si="2"/>
        <v>0.15259643916913945</v>
      </c>
      <c r="K17" s="10">
        <f t="shared" si="3"/>
        <v>0.56172106824925816</v>
      </c>
      <c r="L17" s="9">
        <f t="shared" si="4"/>
        <v>0.53414697481173723</v>
      </c>
      <c r="M17" s="9">
        <f t="shared" si="5"/>
        <v>1.2816519972918077</v>
      </c>
      <c r="N17" s="65">
        <f t="shared" si="6"/>
        <v>3.9525344014168136E-2</v>
      </c>
      <c r="O17" s="8">
        <f>SUMIF('Full 1801-31 data set'!$H$4:$H$484,15,'Full 1801-31 data set'!Z$4:Z$484)</f>
        <v>15229</v>
      </c>
      <c r="P17" s="8">
        <f>SUMIF('Full 1801-31 data set'!$H$4:$H$484,15,'Full 1801-31 data set'!AA$4:AA$484)</f>
        <v>18245</v>
      </c>
      <c r="Q17" s="8">
        <f>SUMIF('Full 1801-31 data set'!$H$4:$H$484,15,'Full 1801-31 data set'!AB$4:AB$484)</f>
        <v>18972</v>
      </c>
      <c r="R17" s="17">
        <f t="shared" si="7"/>
        <v>1.1297477744807121</v>
      </c>
      <c r="S17" s="17">
        <f t="shared" si="8"/>
        <v>1.1980432070392015</v>
      </c>
      <c r="T17" s="17">
        <f t="shared" si="9"/>
        <v>1.0398465332967937</v>
      </c>
      <c r="U17" s="17">
        <f t="shared" si="10"/>
        <v>1.4074183976261128</v>
      </c>
      <c r="V17" s="18">
        <f t="shared" si="11"/>
        <v>16435.400000000001</v>
      </c>
      <c r="W17" s="73">
        <f>SUMIF('Full 1801-31 data set'!$H$4:$H$484,15,'Full 1801-31 data set'!AH$4:AH$484)</f>
        <v>112791</v>
      </c>
      <c r="X17" s="70">
        <f t="shared" si="12"/>
        <v>6.8626866398140596</v>
      </c>
      <c r="Y17" s="74">
        <f t="shared" si="13"/>
        <v>1.4592884525100256</v>
      </c>
    </row>
    <row r="18" spans="1:25" x14ac:dyDescent="0.2">
      <c r="A18" s="4" t="s">
        <v>206</v>
      </c>
      <c r="B18" s="8">
        <f>SUMIF('Full 1801-31 data set'!$H$4:$H$484,16,'Full 1801-31 data set'!M$4:M$484)</f>
        <v>1839</v>
      </c>
      <c r="C18" s="8">
        <f>SUMIF('Full 1801-31 data set'!$H$4:$H$484,16,'Full 1801-31 data set'!N$4:N$484)</f>
        <v>2093</v>
      </c>
      <c r="D18" s="8">
        <f>SUMIF('Full 1801-31 data set'!$H$4:$H$484,16,'Full 1801-31 data set'!O$4:O$484)</f>
        <v>2978</v>
      </c>
      <c r="E18" s="8">
        <f>SUMIF('Full 1801-31 data set'!$H$4:$H$484,16,'Full 1801-31 data set'!P$4:P$484)</f>
        <v>2212</v>
      </c>
      <c r="F18" s="8">
        <f>SUMIF('Full 1801-31 data set'!$H$4:$H$484,16,'Full 1801-31 data set'!Q$4:Q$484)</f>
        <v>4642</v>
      </c>
      <c r="G18" s="8">
        <f>SUMIF('Full 1801-31 data set'!$H$4:$H$484,16,'Full 1801-31 data set'!R$4:R$484)</f>
        <v>9832</v>
      </c>
      <c r="H18" s="9">
        <f t="shared" si="0"/>
        <v>4.6975633062589583</v>
      </c>
      <c r="I18" s="10">
        <f t="shared" si="1"/>
        <v>0.3028885272579333</v>
      </c>
      <c r="J18" s="10">
        <f t="shared" si="2"/>
        <v>0.22497965825874694</v>
      </c>
      <c r="K18" s="10">
        <f t="shared" si="3"/>
        <v>0.47213181448331976</v>
      </c>
      <c r="L18" s="9">
        <f t="shared" si="4"/>
        <v>0.74278038952316994</v>
      </c>
      <c r="M18" s="9">
        <f t="shared" si="5"/>
        <v>0.89441233140655108</v>
      </c>
      <c r="N18" s="65">
        <f t="shared" si="6"/>
        <v>2.8828871094013435E-2</v>
      </c>
      <c r="O18" s="8">
        <f>SUMIF('Full 1801-31 data set'!$H$4:$H$484,16,'Full 1801-31 data set'!Z$4:Z$484)</f>
        <v>9659</v>
      </c>
      <c r="P18" s="8">
        <f>SUMIF('Full 1801-31 data set'!$H$4:$H$484,16,'Full 1801-31 data set'!AA$4:AA$484)</f>
        <v>11051</v>
      </c>
      <c r="Q18" s="8">
        <f>SUMIF('Full 1801-31 data set'!$H$4:$H$484,16,'Full 1801-31 data set'!AB$4:AB$484)</f>
        <v>11962</v>
      </c>
      <c r="R18" s="17">
        <f t="shared" si="7"/>
        <v>0.98240439381611067</v>
      </c>
      <c r="S18" s="17">
        <f t="shared" si="8"/>
        <v>1.1441142975463299</v>
      </c>
      <c r="T18" s="17">
        <f t="shared" si="9"/>
        <v>1.0824359786444666</v>
      </c>
      <c r="U18" s="17">
        <f t="shared" si="10"/>
        <v>1.216639544344996</v>
      </c>
      <c r="V18" s="18">
        <f t="shared" si="11"/>
        <v>10215.799999999999</v>
      </c>
      <c r="W18" s="73">
        <f>SUMIF('Full 1801-31 data set'!$H$4:$H$484,16,'Full 1801-31 data set'!AH$4:AH$484)</f>
        <v>60865</v>
      </c>
      <c r="X18" s="70">
        <f t="shared" si="12"/>
        <v>5.9579279155817462</v>
      </c>
      <c r="Y18" s="74">
        <f t="shared" si="13"/>
        <v>1.2668996654539273</v>
      </c>
    </row>
    <row r="19" spans="1:25" x14ac:dyDescent="0.2">
      <c r="A19" s="4" t="s">
        <v>331</v>
      </c>
      <c r="B19" s="8">
        <f>SUMIF('Full 1801-31 data set'!$H$4:$H$484,17,'Full 1801-31 data set'!M$4:M$484)</f>
        <v>2279</v>
      </c>
      <c r="C19" s="8">
        <f>SUMIF('Full 1801-31 data set'!$H$4:$H$484,17,'Full 1801-31 data set'!N$4:N$484)</f>
        <v>2445</v>
      </c>
      <c r="D19" s="8">
        <f>SUMIF('Full 1801-31 data set'!$H$4:$H$484,17,'Full 1801-31 data set'!O$4:O$484)</f>
        <v>5066</v>
      </c>
      <c r="E19" s="8">
        <f>SUMIF('Full 1801-31 data set'!$H$4:$H$484,17,'Full 1801-31 data set'!P$4:P$484)</f>
        <v>844</v>
      </c>
      <c r="F19" s="8">
        <f>SUMIF('Full 1801-31 data set'!$H$4:$H$484,17,'Full 1801-31 data set'!Q$4:Q$484)</f>
        <v>5809</v>
      </c>
      <c r="G19" s="8">
        <f>SUMIF('Full 1801-31 data set'!$H$4:$H$484,17,'Full 1801-31 data set'!R$4:R$484)</f>
        <v>11719</v>
      </c>
      <c r="H19" s="9">
        <f t="shared" si="0"/>
        <v>4.7930470347648262</v>
      </c>
      <c r="I19" s="10">
        <f t="shared" si="1"/>
        <v>0.43228944449185086</v>
      </c>
      <c r="J19" s="10">
        <f t="shared" si="2"/>
        <v>7.2019796910999231E-2</v>
      </c>
      <c r="K19" s="10">
        <f t="shared" si="3"/>
        <v>0.49569075859714995</v>
      </c>
      <c r="L19" s="9">
        <f t="shared" si="4"/>
        <v>0.1666008685353336</v>
      </c>
      <c r="M19" s="9">
        <f t="shared" si="5"/>
        <v>0.9829103214890017</v>
      </c>
      <c r="N19" s="65">
        <f t="shared" si="6"/>
        <v>3.4361832826560565E-2</v>
      </c>
      <c r="O19" s="8">
        <f>SUMIF('Full 1801-31 data set'!$H$4:$H$484,17,'Full 1801-31 data set'!Z$4:Z$484)</f>
        <v>12312</v>
      </c>
      <c r="P19" s="8">
        <f>SUMIF('Full 1801-31 data set'!$H$4:$H$484,17,'Full 1801-31 data set'!AA$4:AA$484)</f>
        <v>15098</v>
      </c>
      <c r="Q19" s="8">
        <f>SUMIF('Full 1801-31 data set'!$H$4:$H$484,17,'Full 1801-31 data set'!AB$4:AB$484)</f>
        <v>17172</v>
      </c>
      <c r="R19" s="17">
        <f t="shared" si="7"/>
        <v>1.0506015871661405</v>
      </c>
      <c r="S19" s="17">
        <f t="shared" si="8"/>
        <v>1.2262833008447043</v>
      </c>
      <c r="T19" s="17">
        <f t="shared" si="9"/>
        <v>1.1373691879719168</v>
      </c>
      <c r="U19" s="17">
        <f t="shared" si="10"/>
        <v>1.4653127399948802</v>
      </c>
      <c r="V19" s="18">
        <f t="shared" si="11"/>
        <v>13426.400000000001</v>
      </c>
      <c r="W19" s="73">
        <f>SUMIF('Full 1801-31 data set'!$H$4:$H$484,17,'Full 1801-31 data set'!AH$4:AH$484)</f>
        <v>69759</v>
      </c>
      <c r="X19" s="70">
        <f t="shared" si="12"/>
        <v>5.1956592980992662</v>
      </c>
      <c r="Y19" s="74">
        <f t="shared" si="13"/>
        <v>1.1048101151676704</v>
      </c>
    </row>
    <row r="20" spans="1:25" x14ac:dyDescent="0.2">
      <c r="A20" s="4" t="s">
        <v>332</v>
      </c>
      <c r="B20" s="8">
        <f>SUMIF('Full 1801-31 data set'!$H$4:$H$484,18,'Full 1801-31 data set'!M$4:M$484)</f>
        <v>2326</v>
      </c>
      <c r="C20" s="8">
        <f>SUMIF('Full 1801-31 data set'!$H$4:$H$484,18,'Full 1801-31 data set'!N$4:N$484)</f>
        <v>2490</v>
      </c>
      <c r="D20" s="8">
        <f>SUMIF('Full 1801-31 data set'!$H$4:$H$484,18,'Full 1801-31 data set'!O$4:O$484)</f>
        <v>4515</v>
      </c>
      <c r="E20" s="8">
        <f>SUMIF('Full 1801-31 data set'!$H$4:$H$484,18,'Full 1801-31 data set'!P$4:P$484)</f>
        <v>3559</v>
      </c>
      <c r="F20" s="8">
        <f>SUMIF('Full 1801-31 data set'!$H$4:$H$484,18,'Full 1801-31 data set'!Q$4:Q$484)</f>
        <v>4274</v>
      </c>
      <c r="G20" s="8">
        <f>SUMIF('Full 1801-31 data set'!$H$4:$H$484,18,'Full 1801-31 data set'!R$4:R$484)</f>
        <v>12348</v>
      </c>
      <c r="H20" s="9">
        <f t="shared" si="0"/>
        <v>4.9590361445783131</v>
      </c>
      <c r="I20" s="10">
        <f t="shared" si="1"/>
        <v>0.36564625850340138</v>
      </c>
      <c r="J20" s="10">
        <f t="shared" si="2"/>
        <v>0.28822481373501779</v>
      </c>
      <c r="K20" s="10">
        <f t="shared" si="3"/>
        <v>0.34612892776158083</v>
      </c>
      <c r="L20" s="9">
        <f t="shared" si="4"/>
        <v>0.78826135105204875</v>
      </c>
      <c r="M20" s="9">
        <f t="shared" si="5"/>
        <v>0.52935348030715879</v>
      </c>
      <c r="N20" s="65">
        <f t="shared" si="6"/>
        <v>3.620615340407627E-2</v>
      </c>
      <c r="O20" s="8">
        <f>SUMIF('Full 1801-31 data set'!$H$4:$H$484,18,'Full 1801-31 data set'!Z$4:Z$484)</f>
        <v>12636</v>
      </c>
      <c r="P20" s="8">
        <f>SUMIF('Full 1801-31 data set'!$H$4:$H$484,18,'Full 1801-31 data set'!AA$4:AA$484)</f>
        <v>14580</v>
      </c>
      <c r="Q20" s="8">
        <f>SUMIF('Full 1801-31 data set'!$H$4:$H$484,18,'Full 1801-31 data set'!AB$4:AB$484)</f>
        <v>15980</v>
      </c>
      <c r="R20" s="17">
        <f t="shared" si="7"/>
        <v>1.0233236151603498</v>
      </c>
      <c r="S20" s="17">
        <f t="shared" si="8"/>
        <v>1.1538461538461537</v>
      </c>
      <c r="T20" s="17">
        <f t="shared" si="9"/>
        <v>1.0960219478737998</v>
      </c>
      <c r="U20" s="17">
        <f t="shared" si="10"/>
        <v>1.2941367022999677</v>
      </c>
      <c r="V20" s="18">
        <f t="shared" si="11"/>
        <v>13413.599999999999</v>
      </c>
      <c r="W20" s="73">
        <f>SUMIF('Full 1801-31 data set'!$H$4:$H$484,18,'Full 1801-31 data set'!AH$4:AH$484)</f>
        <v>72159</v>
      </c>
      <c r="X20" s="70">
        <f t="shared" si="12"/>
        <v>5.3795401681875115</v>
      </c>
      <c r="Y20" s="74">
        <f t="shared" si="13"/>
        <v>1.1439107246579125</v>
      </c>
    </row>
    <row r="21" spans="1:25" x14ac:dyDescent="0.2">
      <c r="A21" s="4" t="s">
        <v>428</v>
      </c>
      <c r="B21" s="8">
        <f>SUMIF('Full 1801-31 data set'!$H$4:$H$484,19,'Full 1801-31 data set'!M$4:M$484)</f>
        <v>969</v>
      </c>
      <c r="C21" s="8">
        <f>SUMIF('Full 1801-31 data set'!$H$4:$H$484,19,'Full 1801-31 data set'!N$4:N$484)</f>
        <v>1057</v>
      </c>
      <c r="D21" s="8">
        <f>SUMIF('Full 1801-31 data set'!$H$4:$H$484,19,'Full 1801-31 data set'!O$4:O$484)</f>
        <v>2703</v>
      </c>
      <c r="E21" s="8">
        <f>SUMIF('Full 1801-31 data set'!$H$4:$H$484,19,'Full 1801-31 data set'!P$4:P$484)</f>
        <v>516</v>
      </c>
      <c r="F21" s="8">
        <f>SUMIF('Full 1801-31 data set'!$H$4:$H$484,19,'Full 1801-31 data set'!Q$4:Q$484)</f>
        <v>2515</v>
      </c>
      <c r="G21" s="8">
        <f>SUMIF('Full 1801-31 data set'!$H$4:$H$484,19,'Full 1801-31 data set'!R$4:R$484)</f>
        <v>5734</v>
      </c>
      <c r="H21" s="9">
        <f t="shared" si="0"/>
        <v>5.4247871333964053</v>
      </c>
      <c r="I21" s="10">
        <f t="shared" si="1"/>
        <v>0.47139867457272411</v>
      </c>
      <c r="J21" s="10">
        <f t="shared" si="2"/>
        <v>8.9989536100453432E-2</v>
      </c>
      <c r="K21" s="10">
        <f t="shared" si="3"/>
        <v>0.43861178932682249</v>
      </c>
      <c r="L21" s="9">
        <f t="shared" si="4"/>
        <v>0.19089900110987792</v>
      </c>
      <c r="M21" s="9">
        <f t="shared" si="5"/>
        <v>0.7812985399192296</v>
      </c>
      <c r="N21" s="65">
        <f t="shared" si="6"/>
        <v>1.6812931941931758E-2</v>
      </c>
      <c r="O21" s="8">
        <f>SUMIF('Full 1801-31 data set'!$H$4:$H$484,19,'Full 1801-31 data set'!Z$4:Z$484)</f>
        <v>7215</v>
      </c>
      <c r="P21" s="8">
        <f>SUMIF('Full 1801-31 data set'!$H$4:$H$484,19,'Full 1801-31 data set'!AA$4:AA$484)</f>
        <v>9409</v>
      </c>
      <c r="Q21" s="8">
        <f>SUMIF('Full 1801-31 data set'!$H$4:$H$484,19,'Full 1801-31 data set'!AB$4:AB$484)</f>
        <v>9755</v>
      </c>
      <c r="R21" s="17">
        <f t="shared" si="7"/>
        <v>1.2582839204743634</v>
      </c>
      <c r="S21" s="17">
        <f t="shared" si="8"/>
        <v>1.3040887040887041</v>
      </c>
      <c r="T21" s="17">
        <f t="shared" si="9"/>
        <v>1.0367733021575087</v>
      </c>
      <c r="U21" s="17">
        <f t="shared" si="10"/>
        <v>1.7012556679455877</v>
      </c>
      <c r="V21" s="18">
        <f t="shared" si="11"/>
        <v>8092.6</v>
      </c>
      <c r="W21" s="73">
        <f>SUMIF('Full 1801-31 data set'!$H$4:$H$484,19,'Full 1801-31 data set'!AH$4:AH$484)</f>
        <v>72443</v>
      </c>
      <c r="X21" s="70">
        <f t="shared" si="12"/>
        <v>8.9517583965598195</v>
      </c>
      <c r="Y21" s="74">
        <f t="shared" si="13"/>
        <v>1.9035107303272332</v>
      </c>
    </row>
    <row r="22" spans="1:25" x14ac:dyDescent="0.2">
      <c r="A22" s="4" t="s">
        <v>126</v>
      </c>
      <c r="B22" s="8">
        <f>SUMIF('Full 1801-31 data set'!$H$4:$H$484,20,'Full 1801-31 data set'!M$4:M$484)</f>
        <v>1532</v>
      </c>
      <c r="C22" s="8">
        <f>SUMIF('Full 1801-31 data set'!$H$4:$H$484,20,'Full 1801-31 data set'!N$4:N$484)</f>
        <v>2035</v>
      </c>
      <c r="D22" s="8">
        <f>SUMIF('Full 1801-31 data set'!$H$4:$H$484,20,'Full 1801-31 data set'!O$4:O$484)</f>
        <v>3261</v>
      </c>
      <c r="E22" s="8">
        <f>SUMIF('Full 1801-31 data set'!$H$4:$H$484,20,'Full 1801-31 data set'!P$4:P$484)</f>
        <v>1033</v>
      </c>
      <c r="F22" s="8">
        <f>SUMIF('Full 1801-31 data set'!$H$4:$H$484,20,'Full 1801-31 data set'!Q$4:Q$484)</f>
        <v>5492</v>
      </c>
      <c r="G22" s="8">
        <f>SUMIF('Full 1801-31 data set'!$H$4:$H$484,20,'Full 1801-31 data set'!R$4:R$484)</f>
        <v>9786</v>
      </c>
      <c r="H22" s="9">
        <f t="shared" si="0"/>
        <v>4.8088452088452085</v>
      </c>
      <c r="I22" s="10">
        <f t="shared" si="1"/>
        <v>0.33323114653586755</v>
      </c>
      <c r="J22" s="10">
        <f t="shared" si="2"/>
        <v>0.10555896178213775</v>
      </c>
      <c r="K22" s="10">
        <f t="shared" si="3"/>
        <v>0.56120989168199464</v>
      </c>
      <c r="L22" s="9">
        <f t="shared" si="4"/>
        <v>0.3167739957068384</v>
      </c>
      <c r="M22" s="9">
        <f t="shared" si="5"/>
        <v>1.2789939450395902</v>
      </c>
      <c r="N22" s="65">
        <f t="shared" si="6"/>
        <v>2.8693992323638676E-2</v>
      </c>
      <c r="O22" s="8">
        <f>SUMIF('Full 1801-31 data set'!$H$4:$H$484,20,'Full 1801-31 data set'!Z$4:Z$484)</f>
        <v>12494</v>
      </c>
      <c r="P22" s="8">
        <f>SUMIF('Full 1801-31 data set'!$H$4:$H$484,20,'Full 1801-31 data set'!AA$4:AA$484)</f>
        <v>14515</v>
      </c>
      <c r="Q22" s="8">
        <f>SUMIF('Full 1801-31 data set'!$H$4:$H$484,20,'Full 1801-31 data set'!AB$4:AB$484)</f>
        <v>16066</v>
      </c>
      <c r="R22" s="17">
        <f t="shared" si="7"/>
        <v>1.2767218475372981</v>
      </c>
      <c r="S22" s="17">
        <f t="shared" si="8"/>
        <v>1.1617576436689612</v>
      </c>
      <c r="T22" s="17">
        <f t="shared" si="9"/>
        <v>1.1068549776093697</v>
      </c>
      <c r="U22" s="17">
        <f t="shared" si="10"/>
        <v>1.6417330880850194</v>
      </c>
      <c r="V22" s="18">
        <f t="shared" si="11"/>
        <v>13302.4</v>
      </c>
      <c r="W22" s="73">
        <f>SUMIF('Full 1801-31 data set'!$H$4:$H$484,20,'Full 1801-31 data set'!AH$4:AH$484)</f>
        <v>68242</v>
      </c>
      <c r="X22" s="70">
        <f t="shared" si="12"/>
        <v>5.1300517199903775</v>
      </c>
      <c r="Y22" s="74">
        <f t="shared" si="13"/>
        <v>1.0908592550808918</v>
      </c>
    </row>
    <row r="23" spans="1:25" x14ac:dyDescent="0.2">
      <c r="A23" s="4" t="s">
        <v>431</v>
      </c>
      <c r="B23" s="8">
        <f>SUMIF('Full 1801-31 data set'!$H$4:$H$484,21,'Full 1801-31 data set'!M$4:M$484)</f>
        <v>4570</v>
      </c>
      <c r="C23" s="8">
        <f>SUMIF('Full 1801-31 data set'!$H$4:$H$484,21,'Full 1801-31 data set'!N$4:N$484)</f>
        <v>10846</v>
      </c>
      <c r="D23" s="8">
        <f>SUMIF('Full 1801-31 data set'!$H$4:$H$484,21,'Full 1801-31 data set'!O$4:O$484)</f>
        <v>1125</v>
      </c>
      <c r="E23" s="8">
        <f>SUMIF('Full 1801-31 data set'!$H$4:$H$484,21,'Full 1801-31 data set'!P$4:P$484)</f>
        <v>7360</v>
      </c>
      <c r="F23" s="8">
        <f>SUMIF('Full 1801-31 data set'!$H$4:$H$484,21,'Full 1801-31 data set'!Q$4:Q$484)</f>
        <v>35591</v>
      </c>
      <c r="G23" s="8">
        <f>SUMIF('Full 1801-31 data set'!$H$4:$H$484,21,'Full 1801-31 data set'!R$4:R$484)</f>
        <v>44076</v>
      </c>
      <c r="H23" s="9">
        <f t="shared" si="0"/>
        <v>4.063802323437212</v>
      </c>
      <c r="I23" s="10">
        <f t="shared" si="1"/>
        <v>2.5524094745439697E-2</v>
      </c>
      <c r="J23" s="10">
        <f t="shared" si="2"/>
        <v>0.16698429984572102</v>
      </c>
      <c r="K23" s="10">
        <f t="shared" si="3"/>
        <v>0.80749160540883924</v>
      </c>
      <c r="L23" s="9">
        <f t="shared" si="4"/>
        <v>6.5422222222222226</v>
      </c>
      <c r="M23" s="9">
        <f t="shared" si="5"/>
        <v>4.1945786682380675</v>
      </c>
      <c r="N23" s="65">
        <f t="shared" si="6"/>
        <v>0.12923731919647438</v>
      </c>
      <c r="O23" s="8">
        <f>SUMIF('Full 1801-31 data set'!$H$4:$H$484,21,'Full 1801-31 data set'!Z$4:Z$484)</f>
        <v>57034</v>
      </c>
      <c r="P23" s="8">
        <f>SUMIF('Full 1801-31 data set'!$H$4:$H$484,21,'Full 1801-31 data set'!AA$4:AA$484)</f>
        <v>62314</v>
      </c>
      <c r="Q23" s="8">
        <f>SUMIF('Full 1801-31 data set'!$H$4:$H$484,21,'Full 1801-31 data set'!AB$4:AB$484)</f>
        <v>76706</v>
      </c>
      <c r="R23" s="17">
        <f t="shared" si="7"/>
        <v>1.293992195299029</v>
      </c>
      <c r="S23" s="17">
        <f t="shared" si="8"/>
        <v>1.0925763579619174</v>
      </c>
      <c r="T23" s="17">
        <f t="shared" si="9"/>
        <v>1.2309593349809032</v>
      </c>
      <c r="U23" s="17">
        <f t="shared" si="10"/>
        <v>1.7403121880388419</v>
      </c>
      <c r="V23" s="18">
        <f t="shared" si="11"/>
        <v>59146</v>
      </c>
      <c r="W23" s="73">
        <f>SUMIF('Full 1801-31 data set'!$H$4:$H$484,21,'Full 1801-31 data set'!AH$4:AH$484)</f>
        <v>207637</v>
      </c>
      <c r="X23" s="70">
        <f t="shared" si="12"/>
        <v>3.5105839786291551</v>
      </c>
      <c r="Y23" s="74">
        <f t="shared" si="13"/>
        <v>0.74649403804324532</v>
      </c>
    </row>
    <row r="24" spans="1:25" x14ac:dyDescent="0.2">
      <c r="A24" s="4" t="s">
        <v>333</v>
      </c>
      <c r="B24" s="8">
        <f>SUMIF('Full 1801-31 data set'!$H$4:$H$484,22,'Full 1801-31 data set'!M$4:M$484)</f>
        <v>3378</v>
      </c>
      <c r="C24" s="8">
        <f>SUMIF('Full 1801-31 data set'!$H$4:$H$484,22,'Full 1801-31 data set'!N$4:N$484)</f>
        <v>3784</v>
      </c>
      <c r="D24" s="8">
        <f>SUMIF('Full 1801-31 data set'!$H$4:$H$484,22,'Full 1801-31 data set'!O$4:O$484)</f>
        <v>5104</v>
      </c>
      <c r="E24" s="8">
        <f>SUMIF('Full 1801-31 data set'!$H$4:$H$484,22,'Full 1801-31 data set'!P$4:P$484)</f>
        <v>4983</v>
      </c>
      <c r="F24" s="8">
        <f>SUMIF('Full 1801-31 data set'!$H$4:$H$484,22,'Full 1801-31 data set'!Q$4:Q$484)</f>
        <v>7439</v>
      </c>
      <c r="G24" s="8">
        <f>SUMIF('Full 1801-31 data set'!$H$4:$H$484,22,'Full 1801-31 data set'!R$4:R$484)</f>
        <v>17526</v>
      </c>
      <c r="H24" s="9">
        <f t="shared" si="0"/>
        <v>4.631606765327696</v>
      </c>
      <c r="I24" s="10">
        <f t="shared" si="1"/>
        <v>0.29122446650690403</v>
      </c>
      <c r="J24" s="10">
        <f t="shared" si="2"/>
        <v>0.28432043820609382</v>
      </c>
      <c r="K24" s="10">
        <f t="shared" si="3"/>
        <v>0.42445509528700215</v>
      </c>
      <c r="L24" s="9">
        <f t="shared" si="4"/>
        <v>0.97629310344827591</v>
      </c>
      <c r="M24" s="9">
        <f t="shared" si="5"/>
        <v>0.73748389015564586</v>
      </c>
      <c r="N24" s="65">
        <f t="shared" si="6"/>
        <v>5.1388811512782698E-2</v>
      </c>
      <c r="O24" s="8">
        <f>SUMIF('Full 1801-31 data set'!$H$4:$H$484,22,'Full 1801-31 data set'!Z$4:Z$484)</f>
        <v>18045</v>
      </c>
      <c r="P24" s="8">
        <f>SUMIF('Full 1801-31 data set'!$H$4:$H$484,22,'Full 1801-31 data set'!AA$4:AA$484)</f>
        <v>20798</v>
      </c>
      <c r="Q24" s="8">
        <f>SUMIF('Full 1801-31 data set'!$H$4:$H$484,22,'Full 1801-31 data set'!AB$4:AB$484)</f>
        <v>22680</v>
      </c>
      <c r="R24" s="17">
        <f t="shared" si="7"/>
        <v>1.0296131461828142</v>
      </c>
      <c r="S24" s="17">
        <f t="shared" si="8"/>
        <v>1.1525630368523136</v>
      </c>
      <c r="T24" s="17">
        <f t="shared" si="9"/>
        <v>1.0904894701413597</v>
      </c>
      <c r="U24" s="17">
        <f t="shared" si="10"/>
        <v>1.2940773707634372</v>
      </c>
      <c r="V24" s="18">
        <f t="shared" si="11"/>
        <v>19146.2</v>
      </c>
      <c r="W24" s="73">
        <f>SUMIF('Full 1801-31 data set'!$H$4:$H$484,22,'Full 1801-31 data set'!AH$4:AH$484)</f>
        <v>79076</v>
      </c>
      <c r="X24" s="70">
        <f t="shared" si="12"/>
        <v>4.1301145919294688</v>
      </c>
      <c r="Y24" s="74">
        <f t="shared" si="13"/>
        <v>0.87823163840526586</v>
      </c>
    </row>
    <row r="25" spans="1:25" x14ac:dyDescent="0.2">
      <c r="A25" s="4" t="s">
        <v>427</v>
      </c>
      <c r="B25" s="8">
        <f>SUMIF('Full 1801-31 data set'!$H$4:$H$484,23,'Full 1801-31 data set'!M$4:M$484)</f>
        <v>1863</v>
      </c>
      <c r="C25" s="8">
        <f>SUMIF('Full 1801-31 data set'!$H$4:$H$484,23,'Full 1801-31 data set'!N$4:N$484)</f>
        <v>2066</v>
      </c>
      <c r="D25" s="8">
        <f>SUMIF('Full 1801-31 data set'!$H$4:$H$484,23,'Full 1801-31 data set'!O$4:O$484)</f>
        <v>4862</v>
      </c>
      <c r="E25" s="8">
        <f>SUMIF('Full 1801-31 data set'!$H$4:$H$484,23,'Full 1801-31 data set'!P$4:P$484)</f>
        <v>1022</v>
      </c>
      <c r="F25" s="8">
        <f>SUMIF('Full 1801-31 data set'!$H$4:$H$484,23,'Full 1801-31 data set'!Q$4:Q$484)</f>
        <v>5251</v>
      </c>
      <c r="G25" s="8">
        <f>SUMIF('Full 1801-31 data set'!$H$4:$H$484,23,'Full 1801-31 data set'!R$4:R$484)</f>
        <v>11135</v>
      </c>
      <c r="H25" s="9">
        <f t="shared" si="0"/>
        <v>5.3896418199419172</v>
      </c>
      <c r="I25" s="10">
        <f t="shared" si="1"/>
        <v>0.43664122137404582</v>
      </c>
      <c r="J25" s="10">
        <f t="shared" si="2"/>
        <v>9.1782667265379439E-2</v>
      </c>
      <c r="K25" s="10">
        <f t="shared" si="3"/>
        <v>0.47157611136057476</v>
      </c>
      <c r="L25" s="9">
        <f t="shared" si="4"/>
        <v>0.21020156314273961</v>
      </c>
      <c r="M25" s="9">
        <f t="shared" si="5"/>
        <v>0.89242012236573764</v>
      </c>
      <c r="N25" s="65">
        <f t="shared" si="6"/>
        <v>3.2649458872237552E-2</v>
      </c>
      <c r="O25" s="8">
        <f>SUMIF('Full 1801-31 data set'!$H$4:$H$484,23,'Full 1801-31 data set'!Z$4:Z$484)</f>
        <v>11318</v>
      </c>
      <c r="P25" s="8">
        <f>SUMIF('Full 1801-31 data set'!$H$4:$H$484,23,'Full 1801-31 data set'!AA$4:AA$484)</f>
        <v>13425</v>
      </c>
      <c r="Q25" s="8">
        <f>SUMIF('Full 1801-31 data set'!$H$4:$H$484,23,'Full 1801-31 data set'!AB$4:AB$484)</f>
        <v>15226</v>
      </c>
      <c r="R25" s="17">
        <f t="shared" si="7"/>
        <v>1.0164346654692411</v>
      </c>
      <c r="S25" s="17">
        <f t="shared" si="8"/>
        <v>1.1861636331507333</v>
      </c>
      <c r="T25" s="17">
        <f t="shared" si="9"/>
        <v>1.1341527001862197</v>
      </c>
      <c r="U25" s="17">
        <f t="shared" si="10"/>
        <v>1.3674000898069152</v>
      </c>
      <c r="V25" s="18">
        <f t="shared" si="11"/>
        <v>12160.8</v>
      </c>
      <c r="W25" s="73">
        <f>SUMIF('Full 1801-31 data set'!$H$4:$H$484,23,'Full 1801-31 data set'!AH$4:AH$484)</f>
        <v>44930</v>
      </c>
      <c r="X25" s="70">
        <f t="shared" si="12"/>
        <v>3.6946582461680153</v>
      </c>
      <c r="Y25" s="74">
        <f t="shared" si="13"/>
        <v>0.78563577175804278</v>
      </c>
    </row>
    <row r="26" spans="1:25" x14ac:dyDescent="0.2">
      <c r="A26" s="4" t="s">
        <v>26</v>
      </c>
      <c r="B26" s="8">
        <f>SUMIF('Full 1801-31 data set'!$H$4:$H$484,24,'Full 1801-31 data set'!M$4:M$484)</f>
        <v>2537</v>
      </c>
      <c r="C26" s="8">
        <f>SUMIF('Full 1801-31 data set'!$H$4:$H$484,24,'Full 1801-31 data set'!N$4:N$484)</f>
        <v>3446</v>
      </c>
      <c r="D26" s="8">
        <f>SUMIF('Full 1801-31 data set'!$H$4:$H$484,24,'Full 1801-31 data set'!O$4:O$484)</f>
        <v>4336</v>
      </c>
      <c r="E26" s="8">
        <f>SUMIF('Full 1801-31 data set'!$H$4:$H$484,24,'Full 1801-31 data set'!P$4:P$484)</f>
        <v>4191</v>
      </c>
      <c r="F26" s="8">
        <f>SUMIF('Full 1801-31 data set'!$H$4:$H$484,24,'Full 1801-31 data set'!Q$4:Q$484)</f>
        <v>7023</v>
      </c>
      <c r="G26" s="8">
        <f>SUMIF('Full 1801-31 data set'!$H$4:$H$484,24,'Full 1801-31 data set'!R$4:R$484)</f>
        <v>15550</v>
      </c>
      <c r="H26" s="9">
        <f t="shared" si="0"/>
        <v>4.5124782356355198</v>
      </c>
      <c r="I26" s="10">
        <f t="shared" si="1"/>
        <v>0.27884244372990352</v>
      </c>
      <c r="J26" s="10">
        <f t="shared" si="2"/>
        <v>0.26951768488745981</v>
      </c>
      <c r="K26" s="10">
        <f t="shared" si="3"/>
        <v>0.45163987138263667</v>
      </c>
      <c r="L26" s="9">
        <f t="shared" si="4"/>
        <v>0.96655904059040587</v>
      </c>
      <c r="M26" s="9">
        <f t="shared" si="5"/>
        <v>0.82361909229506269</v>
      </c>
      <c r="N26" s="65">
        <f t="shared" si="6"/>
        <v>4.5594888681032231E-2</v>
      </c>
      <c r="O26" s="8">
        <f>SUMIF('Full 1801-31 data set'!$H$4:$H$484,24,'Full 1801-31 data set'!Z$4:Z$484)</f>
        <v>17122</v>
      </c>
      <c r="P26" s="8">
        <f>SUMIF('Full 1801-31 data set'!$H$4:$H$484,24,'Full 1801-31 data set'!AA$4:AA$484)</f>
        <v>19775</v>
      </c>
      <c r="Q26" s="8">
        <f>SUMIF('Full 1801-31 data set'!$H$4:$H$484,24,'Full 1801-31 data set'!AB$4:AB$484)</f>
        <v>20685</v>
      </c>
      <c r="R26" s="17">
        <f t="shared" si="7"/>
        <v>1.1010932475884245</v>
      </c>
      <c r="S26" s="17">
        <f t="shared" si="8"/>
        <v>1.1549468520032706</v>
      </c>
      <c r="T26" s="17">
        <f t="shared" si="9"/>
        <v>1.0460176991150443</v>
      </c>
      <c r="U26" s="17">
        <f t="shared" si="10"/>
        <v>1.3302250803858522</v>
      </c>
      <c r="V26" s="18">
        <f t="shared" si="11"/>
        <v>18183.199999999997</v>
      </c>
      <c r="W26" s="73">
        <f>SUMIF('Full 1801-31 data set'!$H$4:$H$484,24,'Full 1801-31 data set'!AH$4:AH$484)</f>
        <v>93559</v>
      </c>
      <c r="X26" s="70">
        <f t="shared" si="12"/>
        <v>5.1453539530995656</v>
      </c>
      <c r="Y26" s="74">
        <f t="shared" si="13"/>
        <v>1.09411313701458</v>
      </c>
    </row>
    <row r="27" spans="1:25" x14ac:dyDescent="0.2">
      <c r="A27" s="4" t="s">
        <v>287</v>
      </c>
      <c r="B27" s="8">
        <f>SUMIF('Full 1801-31 data set'!$H$4:$H$484,25,'Full 1801-31 data set'!M$4:M$484)</f>
        <v>2023</v>
      </c>
      <c r="C27" s="8">
        <f>SUMIF('Full 1801-31 data set'!$H$4:$H$484,25,'Full 1801-31 data set'!N$4:N$484)</f>
        <v>2241</v>
      </c>
      <c r="D27" s="8">
        <f>SUMIF('Full 1801-31 data set'!$H$4:$H$484,25,'Full 1801-31 data set'!O$4:O$484)</f>
        <v>3162</v>
      </c>
      <c r="E27" s="8">
        <f>SUMIF('Full 1801-31 data set'!$H$4:$H$484,25,'Full 1801-31 data set'!P$4:P$484)</f>
        <v>1571</v>
      </c>
      <c r="F27" s="8">
        <f>SUMIF('Full 1801-31 data set'!$H$4:$H$484,25,'Full 1801-31 data set'!Q$4:Q$484)</f>
        <v>6836</v>
      </c>
      <c r="G27" s="8">
        <f>SUMIF('Full 1801-31 data set'!$H$4:$H$484,25,'Full 1801-31 data set'!R$4:R$484)</f>
        <v>11569</v>
      </c>
      <c r="H27" s="9">
        <f t="shared" si="0"/>
        <v>5.1624274877286922</v>
      </c>
      <c r="I27" s="10">
        <f t="shared" si="1"/>
        <v>0.27331662200708789</v>
      </c>
      <c r="J27" s="10">
        <f t="shared" si="2"/>
        <v>0.13579393205981502</v>
      </c>
      <c r="K27" s="10">
        <f t="shared" si="3"/>
        <v>0.59088944593309711</v>
      </c>
      <c r="L27" s="9">
        <f t="shared" si="4"/>
        <v>0.49683744465528146</v>
      </c>
      <c r="M27" s="9">
        <f t="shared" si="5"/>
        <v>1.4443270652862878</v>
      </c>
      <c r="N27" s="65">
        <f t="shared" si="6"/>
        <v>3.3922010749251566E-2</v>
      </c>
      <c r="O27" s="8">
        <f>SUMIF('Full 1801-31 data set'!$H$4:$H$484,25,'Full 1801-31 data set'!Z$4:Z$484)</f>
        <v>12900</v>
      </c>
      <c r="P27" s="8">
        <f>SUMIF('Full 1801-31 data set'!$H$4:$H$484,25,'Full 1801-31 data set'!AA$4:AA$484)</f>
        <v>14575</v>
      </c>
      <c r="Q27" s="8">
        <f>SUMIF('Full 1801-31 data set'!$H$4:$H$484,25,'Full 1801-31 data set'!AB$4:AB$484)</f>
        <v>15524</v>
      </c>
      <c r="R27" s="17">
        <f t="shared" si="7"/>
        <v>1.1150488374103207</v>
      </c>
      <c r="S27" s="17">
        <f t="shared" si="8"/>
        <v>1.1298449612403101</v>
      </c>
      <c r="T27" s="17">
        <f t="shared" si="9"/>
        <v>1.0651114922813036</v>
      </c>
      <c r="U27" s="17">
        <f t="shared" si="10"/>
        <v>1.3418618722447921</v>
      </c>
      <c r="V27" s="18">
        <f t="shared" si="11"/>
        <v>13570</v>
      </c>
      <c r="W27" s="73">
        <f>SUMIF('Full 1801-31 data set'!$H$4:$H$484,25,'Full 1801-31 data set'!AH$4:AH$484)</f>
        <v>77190</v>
      </c>
      <c r="X27" s="70">
        <f t="shared" si="12"/>
        <v>5.6882829771554899</v>
      </c>
      <c r="Y27" s="74">
        <f t="shared" si="13"/>
        <v>1.2095620999237788</v>
      </c>
    </row>
    <row r="28" spans="1:25" x14ac:dyDescent="0.2">
      <c r="W28" s="73"/>
    </row>
    <row r="29" spans="1:25" x14ac:dyDescent="0.2">
      <c r="A29" s="15" t="s">
        <v>514</v>
      </c>
      <c r="B29" s="20"/>
      <c r="G29" s="18">
        <f>SUM(G2:G27)</f>
        <v>341047</v>
      </c>
      <c r="V29" s="18">
        <f>SUM(V2:V27)</f>
        <v>402889.6</v>
      </c>
      <c r="W29" s="73">
        <f>SUM(W2:W27)</f>
        <v>1894694</v>
      </c>
      <c r="X29" s="70">
        <f>W29/V29</f>
        <v>4.7027622455382323</v>
      </c>
    </row>
    <row r="31" spans="1:25" x14ac:dyDescent="0.2">
      <c r="A31" t="s">
        <v>617</v>
      </c>
    </row>
  </sheetData>
  <autoFilter ref="A1:Y27">
    <sortState ref="A2:Y27">
      <sortCondition ref="A1:A2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workbookViewId="0">
      <selection activeCell="A22" sqref="A22"/>
    </sheetView>
  </sheetViews>
  <sheetFormatPr defaultRowHeight="12.75" x14ac:dyDescent="0.2"/>
  <cols>
    <col min="1" max="1" width="36.5703125" style="97" bestFit="1" customWidth="1"/>
  </cols>
  <sheetData>
    <row r="1" spans="1:25" x14ac:dyDescent="0.2">
      <c r="A1" s="95" t="s">
        <v>632</v>
      </c>
      <c r="B1" s="82" t="s">
        <v>521</v>
      </c>
      <c r="C1" s="83" t="s">
        <v>443</v>
      </c>
      <c r="D1" s="83" t="s">
        <v>444</v>
      </c>
      <c r="E1" s="83" t="s">
        <v>445</v>
      </c>
      <c r="F1" s="83" t="s">
        <v>446</v>
      </c>
      <c r="G1" s="83" t="s">
        <v>603</v>
      </c>
      <c r="H1" s="83" t="s">
        <v>450</v>
      </c>
      <c r="I1" s="83" t="s">
        <v>451</v>
      </c>
      <c r="J1" s="83" t="s">
        <v>452</v>
      </c>
      <c r="K1" s="83" t="s">
        <v>453</v>
      </c>
      <c r="L1" s="83" t="s">
        <v>454</v>
      </c>
      <c r="M1" s="83" t="s">
        <v>455</v>
      </c>
      <c r="N1" s="82" t="s">
        <v>604</v>
      </c>
      <c r="O1" s="82" t="s">
        <v>605</v>
      </c>
      <c r="P1" s="82" t="s">
        <v>606</v>
      </c>
      <c r="Q1" s="82" t="s">
        <v>607</v>
      </c>
      <c r="R1" s="82" t="s">
        <v>608</v>
      </c>
      <c r="S1" s="82" t="s">
        <v>609</v>
      </c>
      <c r="T1" s="82" t="s">
        <v>610</v>
      </c>
      <c r="U1" s="82" t="s">
        <v>611</v>
      </c>
      <c r="V1" s="82" t="s">
        <v>612</v>
      </c>
      <c r="W1" s="82" t="s">
        <v>613</v>
      </c>
      <c r="X1" s="82" t="s">
        <v>614</v>
      </c>
      <c r="Y1" s="82" t="s">
        <v>615</v>
      </c>
    </row>
    <row r="2" spans="1:25" x14ac:dyDescent="0.2">
      <c r="A2" s="96" t="s">
        <v>12</v>
      </c>
      <c r="B2" s="84">
        <f>SUMIF('Full 1801-31 data set'!$J$4:$J$484,1,'Full 1801-31 data set'!M$4:M$484)</f>
        <v>3946</v>
      </c>
      <c r="C2" s="84">
        <f>SUMIF('Full 1801-31 data set'!$J$4:$J$484,1,'Full 1801-31 data set'!N$4:N$484)</f>
        <v>5548</v>
      </c>
      <c r="D2" s="84">
        <f>SUMIF('Full 1801-31 data set'!$J$4:$J$484,1,'Full 1801-31 data set'!O$4:O$484)</f>
        <v>1149</v>
      </c>
      <c r="E2" s="84">
        <f>SUMIF('Full 1801-31 data set'!$J$4:$J$484,1,'Full 1801-31 data set'!P$4:P$484)</f>
        <v>7254</v>
      </c>
      <c r="F2" s="84">
        <f>SUMIF('Full 1801-31 data set'!$J$4:$J$484,1,'Full 1801-31 data set'!Q$4:Q$484)</f>
        <v>16096</v>
      </c>
      <c r="G2" s="84">
        <f>SUMIF('Full 1801-31 data set'!$J$4:$J$484,1,'Full 1801-31 data set'!R$4:R$484)</f>
        <v>24499</v>
      </c>
      <c r="H2" s="85">
        <f>G2/C2</f>
        <v>4.4158255227108869</v>
      </c>
      <c r="I2" s="86">
        <f>D2/G2</f>
        <v>4.689987346422303E-2</v>
      </c>
      <c r="J2" s="86">
        <f>E2/G2</f>
        <v>0.29609371811094332</v>
      </c>
      <c r="K2" s="86">
        <f>F2/G2</f>
        <v>0.65700640842483371</v>
      </c>
      <c r="L2" s="85">
        <f>E2/D2</f>
        <v>6.3133159268929502</v>
      </c>
      <c r="M2" s="85">
        <f>F2/(D2+E2)</f>
        <v>1.9155063667737713</v>
      </c>
      <c r="N2" s="87">
        <f>G2/'Full 1801-31 data set'!R$488</f>
        <v>7.1168577645182557E-2</v>
      </c>
      <c r="O2" s="84">
        <f>SUMIF('Full 1801-31 data set'!$J$4:$J$484,1,'Full 1801-31 data set'!Z$4:Z$484)</f>
        <v>26752</v>
      </c>
      <c r="P2" s="84">
        <f>SUMIF('Full 1801-31 data set'!$J$4:$J$484,1,'Full 1801-31 data set'!AA$4:AA$484)</f>
        <v>32886</v>
      </c>
      <c r="Q2" s="84">
        <f>SUMIF('Full 1801-31 data set'!$J$4:$J$484,1,'Full 1801-31 data set'!AB$4:AB$484)</f>
        <v>39740</v>
      </c>
      <c r="R2" s="88">
        <f>O2/G2</f>
        <v>1.0919629372627455</v>
      </c>
      <c r="S2" s="88">
        <f>P2/O2</f>
        <v>1.2292912679425838</v>
      </c>
      <c r="T2" s="88">
        <f>Q2/P2</f>
        <v>1.2084169555433923</v>
      </c>
      <c r="U2" s="86">
        <f>Q2/G2</f>
        <v>1.6221070247765215</v>
      </c>
      <c r="V2" s="89">
        <f>0.6*O2+0.4*P2</f>
        <v>29205.599999999999</v>
      </c>
      <c r="W2" s="84">
        <f>SUMIF('Full 1801-31 data set'!$J$4:$J$484,1,'Full 1801-31 data set'!AH$4:AH$484)</f>
        <v>99481</v>
      </c>
      <c r="X2" s="90">
        <f>W2/V2</f>
        <v>3.40623031199496</v>
      </c>
      <c r="Y2" s="91">
        <f>X2/'Full 1801-31 data set'!AI$488</f>
        <v>0.72383867771839994</v>
      </c>
    </row>
    <row r="3" spans="1:25" x14ac:dyDescent="0.2">
      <c r="A3" s="96" t="s">
        <v>539</v>
      </c>
      <c r="B3" s="84">
        <f>SUMIF('Full 1801-31 data set'!$J$4:$J$484,2,'Full 1801-31 data set'!M$4:M$484)</f>
        <v>4977</v>
      </c>
      <c r="C3" s="84">
        <f>SUMIF('Full 1801-31 data set'!$J$4:$J$484,2,'Full 1801-31 data set'!N$4:N$484)</f>
        <v>11354</v>
      </c>
      <c r="D3" s="84">
        <f>SUMIF('Full 1801-31 data set'!$J$4:$J$484,2,'Full 1801-31 data set'!O$4:O$484)</f>
        <v>1483</v>
      </c>
      <c r="E3" s="84">
        <f>SUMIF('Full 1801-31 data set'!$J$4:$J$484,2,'Full 1801-31 data set'!P$4:P$484)</f>
        <v>7574</v>
      </c>
      <c r="F3" s="84">
        <f>SUMIF('Full 1801-31 data set'!$J$4:$J$484,2,'Full 1801-31 data set'!Q$4:Q$484)</f>
        <v>37363</v>
      </c>
      <c r="G3" s="84">
        <f>SUMIF('Full 1801-31 data set'!$J$4:$J$484,2,'Full 1801-31 data set'!R$4:R$484)</f>
        <v>46420</v>
      </c>
      <c r="H3" s="85">
        <f>G3/C3</f>
        <v>4.0884269860841993</v>
      </c>
      <c r="I3" s="86">
        <f>D3/G3</f>
        <v>3.1947436449806119E-2</v>
      </c>
      <c r="J3" s="86">
        <f>E3/G3</f>
        <v>0.16316242998707453</v>
      </c>
      <c r="K3" s="86">
        <f>F3/G3</f>
        <v>0.80489013356311934</v>
      </c>
      <c r="L3" s="85">
        <f>E3/D3</f>
        <v>5.1072151045178691</v>
      </c>
      <c r="M3" s="85">
        <f>F3/(D3+E3)</f>
        <v>4.1253174340289283</v>
      </c>
      <c r="N3" s="87">
        <f>G3/'Full 1801-31 data set'!R$488</f>
        <v>0.13484817234537633</v>
      </c>
      <c r="O3" s="84">
        <f>SUMIF('Full 1801-31 data set'!$J$4:$J$484,2,'Full 1801-31 data set'!Z$4:Z$484)</f>
        <v>59970</v>
      </c>
      <c r="P3" s="84">
        <f>SUMIF('Full 1801-31 data set'!$J$4:$J$484,2,'Full 1801-31 data set'!AA$4:AA$484)</f>
        <v>66003</v>
      </c>
      <c r="Q3" s="84">
        <f>SUMIF('Full 1801-31 data set'!$J$4:$J$484,2,'Full 1801-31 data set'!AB$4:AB$484)</f>
        <v>80911</v>
      </c>
      <c r="R3" s="88">
        <f>O3/G3</f>
        <v>1.2919000430848773</v>
      </c>
      <c r="S3" s="88">
        <f>P3/O3</f>
        <v>1.100600300150075</v>
      </c>
      <c r="T3" s="88">
        <f>Q3/P3</f>
        <v>1.2258685211278275</v>
      </c>
      <c r="U3" s="86">
        <f>Q3/G3</f>
        <v>1.7430202498922878</v>
      </c>
      <c r="V3" s="89">
        <f>0.6*O3+0.4*P3</f>
        <v>62383.199999999997</v>
      </c>
      <c r="W3" s="84">
        <f>SUMIF('Full 1801-31 data set'!$J$4:$J$484,2,'Full 1801-31 data set'!AH$4:AH$484)</f>
        <v>226488</v>
      </c>
      <c r="X3" s="90">
        <f>W3/V3</f>
        <v>3.6305928519216715</v>
      </c>
      <c r="Y3" s="91">
        <f>X3/'Full 1801-31 data set'!AI$488</f>
        <v>0.77151668811546459</v>
      </c>
    </row>
    <row r="4" spans="1:25" x14ac:dyDescent="0.2">
      <c r="A4" s="96" t="s">
        <v>623</v>
      </c>
      <c r="B4" s="84">
        <f>SUMIF('Full 1801-31 data set'!$J$4:$J$484,3,'Full 1801-31 data set'!M$4:M$484)</f>
        <v>1449</v>
      </c>
      <c r="C4" s="84">
        <f>SUMIF('Full 1801-31 data set'!$J$4:$J$484,3,'Full 1801-31 data set'!N$4:N$484)</f>
        <v>1799</v>
      </c>
      <c r="D4" s="84">
        <f>SUMIF('Full 1801-31 data set'!$J$4:$J$484,3,'Full 1801-31 data set'!O$4:O$484)</f>
        <v>1333</v>
      </c>
      <c r="E4" s="84">
        <f>SUMIF('Full 1801-31 data set'!$J$4:$J$484,3,'Full 1801-31 data set'!P$4:P$484)</f>
        <v>1231</v>
      </c>
      <c r="F4" s="84">
        <f>SUMIF('Full 1801-31 data set'!$J$4:$J$484,3,'Full 1801-31 data set'!Q$4:Q$484)</f>
        <v>5278</v>
      </c>
      <c r="G4" s="84">
        <f>SUMIF('Full 1801-31 data set'!$J$4:$J$484,3,'Full 1801-31 data set'!R$4:R$484)</f>
        <v>7842</v>
      </c>
      <c r="H4" s="85">
        <f>G4/C4</f>
        <v>4.3590883824346855</v>
      </c>
      <c r="I4" s="86">
        <f>D4/G4</f>
        <v>0.16998214741137466</v>
      </c>
      <c r="J4" s="86">
        <f>E4/G4</f>
        <v>0.15697526141290488</v>
      </c>
      <c r="K4" s="86">
        <f>F4/G4</f>
        <v>0.67304259117572052</v>
      </c>
      <c r="L4" s="85">
        <f>E4/D4</f>
        <v>0.92348087021755443</v>
      </c>
      <c r="M4" s="85">
        <f>F4/(D4+E4)</f>
        <v>2.0585023400936038</v>
      </c>
      <c r="N4" s="87">
        <f>G4/'Full 1801-31 data set'!R$488</f>
        <v>2.2780684350117215E-2</v>
      </c>
      <c r="O4" s="84">
        <f>SUMIF('Full 1801-31 data set'!$J$4:$J$484,3,'Full 1801-31 data set'!Z$4:Z$484)</f>
        <v>9221</v>
      </c>
      <c r="P4" s="84">
        <f>SUMIF('Full 1801-31 data set'!$J$4:$J$484,3,'Full 1801-31 data set'!AA$4:AA$484)</f>
        <v>10235</v>
      </c>
      <c r="Q4" s="84">
        <f>SUMIF('Full 1801-31 data set'!$J$4:$J$484,3,'Full 1801-31 data set'!AB$4:AB$484)</f>
        <v>12747</v>
      </c>
      <c r="R4" s="88">
        <f>O4/G4</f>
        <v>1.1758479979597041</v>
      </c>
      <c r="S4" s="88">
        <f>P4/O4</f>
        <v>1.10996638108665</v>
      </c>
      <c r="T4" s="88">
        <f>Q4/P4</f>
        <v>1.2454323400097704</v>
      </c>
      <c r="U4" s="86">
        <f>Q4/G4</f>
        <v>1.6254781943381791</v>
      </c>
      <c r="V4" s="89">
        <f>0.6*O4+0.4*P4</f>
        <v>9626.5999999999985</v>
      </c>
      <c r="W4" s="84">
        <f>SUMIF('Full 1801-31 data set'!$J$4:$J$484,3,'Full 1801-31 data set'!AH$4:AH$484)</f>
        <v>36570</v>
      </c>
      <c r="X4" s="90">
        <f>W4/V4</f>
        <v>3.7988490225001565</v>
      </c>
      <c r="Y4" s="91">
        <f>X4/'Full 1801-31 data set'!AI$488</f>
        <v>0.8072718522922997</v>
      </c>
    </row>
    <row r="5" spans="1:25" x14ac:dyDescent="0.2">
      <c r="A5" s="96" t="s">
        <v>624</v>
      </c>
      <c r="B5" s="84">
        <f>SUMIF('Full 1801-31 data set'!$J$4:$J$484,4,'Full 1801-31 data set'!M$4:M$484)</f>
        <v>7023</v>
      </c>
      <c r="C5" s="84">
        <f>SUMIF('Full 1801-31 data set'!$J$4:$J$484,4,'Full 1801-31 data set'!N$4:N$484)</f>
        <v>8542</v>
      </c>
      <c r="D5" s="84">
        <f>SUMIF('Full 1801-31 data set'!$J$4:$J$484,4,'Full 1801-31 data set'!O$4:O$484)</f>
        <v>12383</v>
      </c>
      <c r="E5" s="84">
        <f>SUMIF('Full 1801-31 data set'!$J$4:$J$484,4,'Full 1801-31 data set'!P$4:P$484)</f>
        <v>7452</v>
      </c>
      <c r="F5" s="84">
        <f>SUMIF('Full 1801-31 data set'!$J$4:$J$484,4,'Full 1801-31 data set'!Q$4:Q$484)</f>
        <v>22255</v>
      </c>
      <c r="G5" s="84">
        <f>SUMIF('Full 1801-31 data set'!$J$4:$J$484,4,'Full 1801-31 data set'!R$4:R$484)</f>
        <v>42090</v>
      </c>
      <c r="H5" s="85">
        <f>G5/C5</f>
        <v>4.9274174666354487</v>
      </c>
      <c r="I5" s="86">
        <f>D5/G5</f>
        <v>0.29420289855072462</v>
      </c>
      <c r="J5" s="86">
        <f>E5/G5</f>
        <v>0.17704918032786884</v>
      </c>
      <c r="K5" s="86">
        <f>F5/G5</f>
        <v>0.52874792112140656</v>
      </c>
      <c r="L5" s="85">
        <f>E5/D5</f>
        <v>0.60179278042477591</v>
      </c>
      <c r="M5" s="85">
        <f>F5/(D5+E5)</f>
        <v>1.1220065540710864</v>
      </c>
      <c r="N5" s="87">
        <f>G5/'Full 1801-31 data set'!R$488</f>
        <v>0.1222697021546077</v>
      </c>
      <c r="O5" s="84">
        <f>SUMIF('Full 1801-31 data set'!$J$4:$J$484,4,'Full 1801-31 data set'!Z$4:Z$484)</f>
        <v>46205</v>
      </c>
      <c r="P5" s="84">
        <f>SUMIF('Full 1801-31 data set'!$J$4:$J$484,4,'Full 1801-31 data set'!AA$4:AA$484)</f>
        <v>53148</v>
      </c>
      <c r="Q5" s="84">
        <f>SUMIF('Full 1801-31 data set'!$J$4:$J$484,4,'Full 1801-31 data set'!AB$4:AB$484)</f>
        <v>55168</v>
      </c>
      <c r="R5" s="88">
        <f>O5/G5</f>
        <v>1.0977666904252792</v>
      </c>
      <c r="S5" s="88">
        <f>P5/O5</f>
        <v>1.1502651228222054</v>
      </c>
      <c r="T5" s="88">
        <f>Q5/P5</f>
        <v>1.0380070745841801</v>
      </c>
      <c r="U5" s="86">
        <f>Q5/G5</f>
        <v>1.3107151342361607</v>
      </c>
      <c r="V5" s="89">
        <f>0.6*O5+0.4*P5</f>
        <v>48982.2</v>
      </c>
      <c r="W5" s="84">
        <f>SUMIF('Full 1801-31 data set'!$J$4:$J$484,4,'Full 1801-31 data set'!AH$4:AH$484)</f>
        <v>303921</v>
      </c>
      <c r="X5" s="90">
        <f>W5/V5</f>
        <v>6.2047233484816937</v>
      </c>
      <c r="Y5" s="91">
        <f>X5/'Full 1801-31 data set'!AI$488</f>
        <v>1.3185305551294493</v>
      </c>
    </row>
    <row r="6" spans="1:25" x14ac:dyDescent="0.2">
      <c r="A6" s="96" t="s">
        <v>111</v>
      </c>
      <c r="B6" s="84">
        <f>SUMIF('Full 1801-31 data set'!$J$4:$J$484,5,'Full 1801-31 data set'!M$4:M$484)</f>
        <v>6291</v>
      </c>
      <c r="C6" s="84">
        <f>SUMIF('Full 1801-31 data set'!$J$4:$J$484,5,'Full 1801-31 data set'!N$4:N$484)</f>
        <v>7284</v>
      </c>
      <c r="D6" s="84">
        <f>SUMIF('Full 1801-31 data set'!$J$4:$J$484,5,'Full 1801-31 data set'!O$4:O$484)</f>
        <v>9899</v>
      </c>
      <c r="E6" s="84">
        <f>SUMIF('Full 1801-31 data set'!$J$4:$J$484,5,'Full 1801-31 data set'!P$4:P$484)</f>
        <v>5413</v>
      </c>
      <c r="F6" s="84">
        <f>SUMIF('Full 1801-31 data set'!$J$4:$J$484,5,'Full 1801-31 data set'!Q$4:Q$484)</f>
        <v>19487</v>
      </c>
      <c r="G6" s="84">
        <f>SUMIF('Full 1801-31 data set'!$J$4:$J$484,5,'Full 1801-31 data set'!R$4:R$484)</f>
        <v>34799</v>
      </c>
      <c r="H6" s="85">
        <f>G6/C6</f>
        <v>4.7774574409665016</v>
      </c>
      <c r="I6" s="86">
        <f>D6/G6</f>
        <v>0.28446219718957444</v>
      </c>
      <c r="J6" s="86">
        <f>E6/G6</f>
        <v>0.15555044685192104</v>
      </c>
      <c r="K6" s="86">
        <f>F6/G6</f>
        <v>0.55998735595850457</v>
      </c>
      <c r="L6" s="85">
        <f>E6/D6</f>
        <v>0.54682291140519246</v>
      </c>
      <c r="M6" s="85">
        <f>F6/(D6+E6)</f>
        <v>1.2726619644723094</v>
      </c>
      <c r="N6" s="87">
        <f>G6/'Full 1801-31 data set'!R$488</f>
        <v>0.10108964992345434</v>
      </c>
      <c r="O6" s="84">
        <f>SUMIF('Full 1801-31 data set'!$J$4:$J$484,5,'Full 1801-31 data set'!Z$4:Z$484)</f>
        <v>37733</v>
      </c>
      <c r="P6" s="84">
        <f>SUMIF('Full 1801-31 data set'!$J$4:$J$484,5,'Full 1801-31 data set'!AA$4:AA$484)</f>
        <v>43785</v>
      </c>
      <c r="Q6" s="84">
        <f>SUMIF('Full 1801-31 data set'!$J$4:$J$484,5,'Full 1801-31 data set'!AB$4:AB$484)</f>
        <v>48946</v>
      </c>
      <c r="R6" s="88">
        <f>O6/G6</f>
        <v>1.0843127676082647</v>
      </c>
      <c r="S6" s="88">
        <f>P6/O6</f>
        <v>1.1603901094532638</v>
      </c>
      <c r="T6" s="88">
        <f>Q6/P6</f>
        <v>1.1178714171519928</v>
      </c>
      <c r="U6" s="86">
        <f>Q6/G6</f>
        <v>1.4065346705365096</v>
      </c>
      <c r="V6" s="89">
        <f>0.6*O6+0.4*P6</f>
        <v>40153.800000000003</v>
      </c>
      <c r="W6" s="84">
        <f>SUMIF('Full 1801-31 data set'!$J$4:$J$484,5,'Full 1801-31 data set'!AH$4:AH$484)</f>
        <v>180667</v>
      </c>
      <c r="X6" s="90">
        <f>W6/V6</f>
        <v>4.4993749034960571</v>
      </c>
      <c r="Y6" s="91">
        <f>X6/'Full 1801-31 data set'!AI$488</f>
        <v>0.95613663269835814</v>
      </c>
    </row>
    <row r="7" spans="1:25" x14ac:dyDescent="0.2">
      <c r="A7" s="96" t="s">
        <v>637</v>
      </c>
      <c r="B7" s="84">
        <f>SUMIF('Full 1801-31 data set'!$J$4:$J$484,6,'Full 1801-31 data set'!M$4:M$484)</f>
        <v>7456</v>
      </c>
      <c r="C7" s="84">
        <f>SUMIF('Full 1801-31 data set'!$J$4:$J$484,6,'Full 1801-31 data set'!N$4:N$484)</f>
        <v>8338</v>
      </c>
      <c r="D7" s="84">
        <f>SUMIF('Full 1801-31 data set'!$J$4:$J$484,6,'Full 1801-31 data set'!O$4:O$484)</f>
        <v>15205</v>
      </c>
      <c r="E7" s="84">
        <f>SUMIF('Full 1801-31 data set'!$J$4:$J$484,6,'Full 1801-31 data set'!P$4:P$484)</f>
        <v>6880</v>
      </c>
      <c r="F7" s="84">
        <f>SUMIF('Full 1801-31 data set'!$J$4:$J$484,6,'Full 1801-31 data set'!Q$4:Q$484)</f>
        <v>16648</v>
      </c>
      <c r="G7" s="84">
        <f>SUMIF('Full 1801-31 data set'!$J$4:$J$484,6,'Full 1801-31 data set'!R$4:R$484)</f>
        <v>41925</v>
      </c>
      <c r="H7" s="85">
        <f>G7/C7</f>
        <v>5.0281842168385706</v>
      </c>
      <c r="I7" s="86">
        <f>D7/G7</f>
        <v>0.36267143709004174</v>
      </c>
      <c r="J7" s="86">
        <f>E7/G7</f>
        <v>0.1641025641025641</v>
      </c>
      <c r="K7" s="86">
        <f>F7/G7</f>
        <v>0.39709004174120455</v>
      </c>
      <c r="L7" s="85">
        <f>E7/D7</f>
        <v>0.45248273594212429</v>
      </c>
      <c r="M7" s="85">
        <f>F7/(D7+E7)</f>
        <v>0.75381480642970344</v>
      </c>
      <c r="N7" s="87">
        <f>G7/'Full 1801-31 data set'!R$488</f>
        <v>0.12179038400646063</v>
      </c>
      <c r="O7" s="84">
        <f>SUMIF('Full 1801-31 data set'!$J$4:$J$484,6,'Full 1801-31 data set'!Z$4:Z$484)</f>
        <v>45294</v>
      </c>
      <c r="P7" s="84">
        <f>SUMIF('Full 1801-31 data set'!$J$4:$J$484,6,'Full 1801-31 data set'!AA$4:AA$484)</f>
        <v>53556</v>
      </c>
      <c r="Q7" s="84">
        <f>SUMIF('Full 1801-31 data set'!$J$4:$J$484,6,'Full 1801-31 data set'!AB$4:AB$484)</f>
        <v>57991</v>
      </c>
      <c r="R7" s="88">
        <f>O7/G7</f>
        <v>1.0803577817531307</v>
      </c>
      <c r="S7" s="88">
        <f>P7/O7</f>
        <v>1.1824082659954962</v>
      </c>
      <c r="T7" s="88">
        <f>Q7/P7</f>
        <v>1.0828105160953021</v>
      </c>
      <c r="U7" s="86">
        <f>Q7/G7</f>
        <v>1.3832081097197377</v>
      </c>
      <c r="V7" s="89">
        <f>0.6*O7+0.4*P7</f>
        <v>48598.8</v>
      </c>
      <c r="W7" s="84">
        <f>SUMIF('Full 1801-31 data set'!$J$4:$J$484,6,'Full 1801-31 data set'!AH$4:AH$484)</f>
        <v>307204</v>
      </c>
      <c r="X7" s="90">
        <f>W7/V7</f>
        <v>6.3212260385030081</v>
      </c>
      <c r="Y7" s="91">
        <f>X7/'Full 1801-31 data set'!AI$488</f>
        <v>1.3432878807861148</v>
      </c>
    </row>
    <row r="8" spans="1:25" x14ac:dyDescent="0.2">
      <c r="A8" s="96" t="s">
        <v>621</v>
      </c>
      <c r="B8" s="84">
        <f>SUMIF('Full 1801-31 data set'!$J$4:$J$484,7,'Full 1801-31 data set'!M$4:M$484)</f>
        <v>9032</v>
      </c>
      <c r="C8" s="84">
        <f>SUMIF('Full 1801-31 data set'!$J$4:$J$484,7,'Full 1801-31 data set'!N$4:N$484)</f>
        <v>9912</v>
      </c>
      <c r="D8" s="84">
        <f>SUMIF('Full 1801-31 data set'!$J$4:$J$484,7,'Full 1801-31 data set'!O$4:O$484)</f>
        <v>15857</v>
      </c>
      <c r="E8" s="84">
        <f>SUMIF('Full 1801-31 data set'!$J$4:$J$484,7,'Full 1801-31 data set'!P$4:P$484)</f>
        <v>13527</v>
      </c>
      <c r="F8" s="84">
        <f>SUMIF('Full 1801-31 data set'!$J$4:$J$484,7,'Full 1801-31 data set'!Q$4:Q$484)</f>
        <v>17801</v>
      </c>
      <c r="G8" s="84">
        <f>SUMIF('Full 1801-31 data set'!$J$4:$J$484,7,'Full 1801-31 data set'!R$4:R$484)</f>
        <v>47185</v>
      </c>
      <c r="H8" s="85">
        <f>G8/C8</f>
        <v>4.7603914447134787</v>
      </c>
      <c r="I8" s="86">
        <f>D8/G8</f>
        <v>0.33606018861926462</v>
      </c>
      <c r="J8" s="86">
        <f>E8/G8</f>
        <v>0.28668008901133835</v>
      </c>
      <c r="K8" s="86">
        <f>F8/G8</f>
        <v>0.37725972236939703</v>
      </c>
      <c r="L8" s="85">
        <f>E8/D8</f>
        <v>0.85306173929494855</v>
      </c>
      <c r="M8" s="85">
        <f>F8/(D8+E8)</f>
        <v>0.60580588075142938</v>
      </c>
      <c r="N8" s="87">
        <f>G8/'Full 1801-31 data set'!R$488</f>
        <v>0.13707046557769456</v>
      </c>
      <c r="O8" s="84">
        <f>SUMIF('Full 1801-31 data set'!$J$4:$J$484,7,'Full 1801-31 data set'!Z$4:Z$484)</f>
        <v>48336</v>
      </c>
      <c r="P8" s="84">
        <f>SUMIF('Full 1801-31 data set'!$J$4:$J$484,7,'Full 1801-31 data set'!AA$4:AA$484)</f>
        <v>54316</v>
      </c>
      <c r="Q8" s="84">
        <f>SUMIF('Full 1801-31 data set'!$J$4:$J$484,7,'Full 1801-31 data set'!AB$4:AB$484)</f>
        <v>58544</v>
      </c>
      <c r="R8" s="88">
        <f>O8/G8</f>
        <v>1.0243933453427996</v>
      </c>
      <c r="S8" s="88">
        <f>P8/O8</f>
        <v>1.1237173121482953</v>
      </c>
      <c r="T8" s="88">
        <f>Q8/P8</f>
        <v>1.0778407835628545</v>
      </c>
      <c r="U8" s="86">
        <f>Q8/G8</f>
        <v>1.2407332838825897</v>
      </c>
      <c r="V8" s="89">
        <f>0.6*O8+0.4*P8</f>
        <v>50728</v>
      </c>
      <c r="W8" s="84">
        <f>SUMIF('Full 1801-31 data set'!$J$4:$J$484,7,'Full 1801-31 data set'!AH$4:AH$484)</f>
        <v>226923</v>
      </c>
      <c r="X8" s="90">
        <f>W8/V8</f>
        <v>4.4733283393786465</v>
      </c>
      <c r="Y8" s="91">
        <f>X8/'Full 1801-31 data set'!AI$488</f>
        <v>0.95060162513781188</v>
      </c>
    </row>
    <row r="9" spans="1:25" x14ac:dyDescent="0.2">
      <c r="A9" s="96" t="s">
        <v>622</v>
      </c>
      <c r="B9" s="84">
        <f>SUMIF('Full 1801-31 data set'!$J$4:$J$484,8,'Full 1801-31 data set'!M$4:M$484)</f>
        <v>4638</v>
      </c>
      <c r="C9" s="84">
        <f>SUMIF('Full 1801-31 data set'!$J$4:$J$484,8,'Full 1801-31 data set'!N$4:N$484)</f>
        <v>5383</v>
      </c>
      <c r="D9" s="84">
        <f>SUMIF('Full 1801-31 data set'!$J$4:$J$484,8,'Full 1801-31 data set'!O$4:O$484)</f>
        <v>11689</v>
      </c>
      <c r="E9" s="84">
        <f>SUMIF('Full 1801-31 data set'!$J$4:$J$484,8,'Full 1801-31 data set'!P$4:P$484)</f>
        <v>3050</v>
      </c>
      <c r="F9" s="84">
        <f>SUMIF('Full 1801-31 data set'!$J$4:$J$484,8,'Full 1801-31 data set'!Q$4:Q$484)</f>
        <v>12347</v>
      </c>
      <c r="G9" s="84">
        <f>SUMIF('Full 1801-31 data set'!$J$4:$J$484,8,'Full 1801-31 data set'!R$4:R$484)</f>
        <v>27086</v>
      </c>
      <c r="H9" s="85">
        <f>G9/C9</f>
        <v>5.0317666728590007</v>
      </c>
      <c r="I9" s="86">
        <f>D9/G9</f>
        <v>0.43155135494351327</v>
      </c>
      <c r="J9" s="86">
        <f>E9/G9</f>
        <v>0.11260429742302297</v>
      </c>
      <c r="K9" s="86">
        <f>F9/G9</f>
        <v>0.45584434763346376</v>
      </c>
      <c r="L9" s="85">
        <f>E9/D9</f>
        <v>0.26092907862092568</v>
      </c>
      <c r="M9" s="85">
        <f>F9/(D9+E9)</f>
        <v>0.83770947825496977</v>
      </c>
      <c r="N9" s="87">
        <f>G9/'Full 1801-31 data set'!R$488</f>
        <v>7.8683705216433933E-2</v>
      </c>
      <c r="O9" s="84">
        <f>SUMIF('Full 1801-31 data set'!$J$4:$J$484,8,'Full 1801-31 data set'!Z$4:Z$484)</f>
        <v>31786</v>
      </c>
      <c r="P9" s="84">
        <f>SUMIF('Full 1801-31 data set'!$J$4:$J$484,8,'Full 1801-31 data set'!AA$4:AA$484)</f>
        <v>37916</v>
      </c>
      <c r="Q9" s="84">
        <f>SUMIF('Full 1801-31 data set'!$J$4:$J$484,8,'Full 1801-31 data set'!AB$4:AB$484)</f>
        <v>41474</v>
      </c>
      <c r="R9" s="88">
        <f>O9/G9</f>
        <v>1.1735213763567895</v>
      </c>
      <c r="S9" s="88">
        <f>P9/O9</f>
        <v>1.1928521990813565</v>
      </c>
      <c r="T9" s="88">
        <f>Q9/P9</f>
        <v>1.0938390125540669</v>
      </c>
      <c r="U9" s="86">
        <f>Q9/G9</f>
        <v>1.531196928302444</v>
      </c>
      <c r="V9" s="89">
        <f>0.6*O9+0.4*P9</f>
        <v>34238</v>
      </c>
      <c r="W9" s="84">
        <f>SUMIF('Full 1801-31 data set'!$J$4:$J$484,8,'Full 1801-31 data set'!AH$4:AH$484)</f>
        <v>185421</v>
      </c>
      <c r="X9" s="90">
        <f>W9/V9</f>
        <v>5.4156492785793562</v>
      </c>
      <c r="Y9" s="91">
        <f>X9/'Full 1801-31 data set'!AI$488</f>
        <v>1.1508489014935663</v>
      </c>
    </row>
    <row r="10" spans="1:25" x14ac:dyDescent="0.2">
      <c r="A10" s="96" t="s">
        <v>619</v>
      </c>
      <c r="B10" s="84">
        <f>SUMIF('Full 1801-31 data set'!$J$4:$J$484,9,'Full 1801-31 data set'!M$4:M$484)</f>
        <v>5652</v>
      </c>
      <c r="C10" s="84">
        <f>SUMIF('Full 1801-31 data set'!$J$4:$J$484,9,'Full 1801-31 data set'!N$4:N$484)</f>
        <v>6145</v>
      </c>
      <c r="D10" s="84">
        <f>SUMIF('Full 1801-31 data set'!$J$4:$J$484,9,'Full 1801-31 data set'!O$4:O$484)</f>
        <v>13300</v>
      </c>
      <c r="E10" s="84">
        <f>SUMIF('Full 1801-31 data set'!$J$4:$J$484,9,'Full 1801-31 data set'!P$4:P$484)</f>
        <v>2434</v>
      </c>
      <c r="F10" s="84">
        <f>SUMIF('Full 1801-31 data set'!$J$4:$J$484,9,'Full 1801-31 data set'!Q$4:Q$484)</f>
        <v>16184</v>
      </c>
      <c r="G10" s="84">
        <f>SUMIF('Full 1801-31 data set'!$J$4:$J$484,9,'Full 1801-31 data set'!R$4:R$484)</f>
        <v>31918</v>
      </c>
      <c r="H10" s="85">
        <f>G10/C10</f>
        <v>5.1941415785191216</v>
      </c>
      <c r="I10" s="86">
        <f>D10/G10</f>
        <v>0.41669277523654363</v>
      </c>
      <c r="J10" s="86">
        <f>E10/G10</f>
        <v>7.625791089667272E-2</v>
      </c>
      <c r="K10" s="86">
        <f>F10/G10</f>
        <v>0.50704931386678365</v>
      </c>
      <c r="L10" s="85">
        <f>E10/D10</f>
        <v>0.18300751879699248</v>
      </c>
      <c r="M10" s="85">
        <f>F10/(D10+E10)</f>
        <v>1.0286004830303801</v>
      </c>
      <c r="N10" s="87">
        <f>G10/'Full 1801-31 data set'!R$488</f>
        <v>9.2720464560959101E-2</v>
      </c>
      <c r="O10" s="84">
        <f>SUMIF('Full 1801-31 data set'!$J$4:$J$484,9,'Full 1801-31 data set'!Z$4:Z$484)</f>
        <v>34293</v>
      </c>
      <c r="P10" s="84">
        <f>SUMIF('Full 1801-31 data set'!$J$4:$J$484,9,'Full 1801-31 data set'!AA$4:AA$484)</f>
        <v>40835</v>
      </c>
      <c r="Q10" s="84">
        <f>SUMIF('Full 1801-31 data set'!$J$4:$J$484,9,'Full 1801-31 data set'!AB$4:AB$484)</f>
        <v>45358</v>
      </c>
      <c r="R10" s="88">
        <f>O10/G10</f>
        <v>1.0744094241493829</v>
      </c>
      <c r="S10" s="88">
        <f>P10/O10</f>
        <v>1.1907677951768583</v>
      </c>
      <c r="T10" s="88">
        <f>Q10/P10</f>
        <v>1.1107628260071019</v>
      </c>
      <c r="U10" s="86">
        <f>Q10/G10</f>
        <v>1.4210790149758756</v>
      </c>
      <c r="V10" s="89">
        <f>0.6*O10+0.4*P10</f>
        <v>36909.800000000003</v>
      </c>
      <c r="W10" s="84">
        <f>SUMIF('Full 1801-31 data set'!$J$4:$J$484,9,'Full 1801-31 data set'!AH$4:AH$484)</f>
        <v>138854</v>
      </c>
      <c r="X10" s="90">
        <f>W10/V10</f>
        <v>3.7619819126627614</v>
      </c>
      <c r="Y10" s="91">
        <f>X10/'Full 1801-31 data set'!AI$488</f>
        <v>0.79943743195318595</v>
      </c>
    </row>
    <row r="11" spans="1:25" x14ac:dyDescent="0.2">
      <c r="A11" s="96" t="s">
        <v>620</v>
      </c>
      <c r="B11" s="84">
        <f>SUMIF('Full 1801-31 data set'!$J$4:$J$484,10,'Full 1801-31 data set'!M$4:M$484)</f>
        <v>6684</v>
      </c>
      <c r="C11" s="84">
        <f>SUMIF('Full 1801-31 data set'!$J$4:$J$484,10,'Full 1801-31 data set'!N$4:N$484)</f>
        <v>7361</v>
      </c>
      <c r="D11" s="84">
        <f>SUMIF('Full 1801-31 data set'!$J$4:$J$484,10,'Full 1801-31 data set'!O$4:O$484)</f>
        <v>12909</v>
      </c>
      <c r="E11" s="84">
        <f>SUMIF('Full 1801-31 data set'!$J$4:$J$484,10,'Full 1801-31 data set'!P$4:P$484)</f>
        <v>6274</v>
      </c>
      <c r="F11" s="84">
        <f>SUMIF('Full 1801-31 data set'!$J$4:$J$484,10,'Full 1801-31 data set'!Q$4:Q$484)</f>
        <v>16595</v>
      </c>
      <c r="G11" s="84">
        <f>SUMIF('Full 1801-31 data set'!$J$4:$J$484,10,'Full 1801-31 data set'!R$4:R$484)</f>
        <v>35778</v>
      </c>
      <c r="H11" s="85">
        <f>G11/C11</f>
        <v>4.8604809129194404</v>
      </c>
      <c r="I11" s="86">
        <f>D11/G11</f>
        <v>0.36080831796075802</v>
      </c>
      <c r="J11" s="86">
        <f>E11/G11</f>
        <v>0.17535915925988038</v>
      </c>
      <c r="K11" s="86">
        <f>F11/G11</f>
        <v>0.4638325227793616</v>
      </c>
      <c r="L11" s="85">
        <f>E11/D11</f>
        <v>0.48601750716554343</v>
      </c>
      <c r="M11" s="85">
        <f>F11/(D11+E11)</f>
        <v>0.86508888077985713</v>
      </c>
      <c r="N11" s="87">
        <f>G11/'Full 1801-31 data set'!R$488</f>
        <v>0.10393360426912697</v>
      </c>
      <c r="O11" s="84">
        <f>SUMIF('Full 1801-31 data set'!$J$4:$J$484,10,'Full 1801-31 data set'!Z$4:Z$484)</f>
        <v>37800</v>
      </c>
      <c r="P11" s="84">
        <f>SUMIF('Full 1801-31 data set'!$J$4:$J$484,10,'Full 1801-31 data set'!AA$4:AA$484)</f>
        <v>45162</v>
      </c>
      <c r="Q11" s="84">
        <f>SUMIF('Full 1801-31 data set'!$J$4:$J$484,10,'Full 1801-31 data set'!AB$4:AB$484)</f>
        <v>52073</v>
      </c>
      <c r="R11" s="88">
        <f>O11/G11</f>
        <v>1.056515176924367</v>
      </c>
      <c r="S11" s="88">
        <f>P11/O11</f>
        <v>1.1947619047619047</v>
      </c>
      <c r="T11" s="88">
        <f>Q11/P11</f>
        <v>1.1530268810061557</v>
      </c>
      <c r="U11" s="86">
        <f>Q11/G11</f>
        <v>1.4554474816926604</v>
      </c>
      <c r="V11" s="89">
        <f>0.6*O11+0.4*P11</f>
        <v>40744.800000000003</v>
      </c>
      <c r="W11" s="84">
        <f>SUMIF('Full 1801-31 data set'!$J$4:$J$484,10,'Full 1801-31 data set'!AH$4:AH$484)</f>
        <v>192620</v>
      </c>
      <c r="X11" s="90">
        <f>W11/V11</f>
        <v>4.727474426184445</v>
      </c>
      <c r="Y11" s="91">
        <f>X11/'Full 1801-31 data set'!AI$488</f>
        <v>1.0046087680996374</v>
      </c>
    </row>
    <row r="12" spans="1:25" x14ac:dyDescent="0.2"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</row>
    <row r="13" spans="1:25" x14ac:dyDescent="0.2">
      <c r="A13" s="98" t="s">
        <v>634</v>
      </c>
      <c r="B13" s="93">
        <f>SUM(B2:B11)</f>
        <v>57148</v>
      </c>
      <c r="C13" s="93">
        <f t="shared" ref="C13:G13" si="0">SUM(C2:C11)</f>
        <v>71666</v>
      </c>
      <c r="D13" s="93">
        <f t="shared" si="0"/>
        <v>95207</v>
      </c>
      <c r="E13" s="93">
        <f t="shared" si="0"/>
        <v>61089</v>
      </c>
      <c r="F13" s="93">
        <f t="shared" si="0"/>
        <v>180054</v>
      </c>
      <c r="G13" s="93">
        <f t="shared" si="0"/>
        <v>339542</v>
      </c>
      <c r="H13" s="85">
        <f>G13/C13</f>
        <v>4.7378394217620627</v>
      </c>
      <c r="I13" s="86">
        <f>D13/G13</f>
        <v>0.28039830124108356</v>
      </c>
      <c r="J13" s="86">
        <f>E13/G13</f>
        <v>0.17991588669442957</v>
      </c>
      <c r="K13" s="86">
        <f>F13/G13</f>
        <v>0.53028491320661364</v>
      </c>
      <c r="L13" s="85">
        <f>E13/D13</f>
        <v>0.64164399676494377</v>
      </c>
      <c r="M13" s="85">
        <f>F13/(D13+E13)</f>
        <v>1.1520064493013258</v>
      </c>
      <c r="N13" s="87">
        <f>G13/'Full 1801-31 data set'!R$488</f>
        <v>0.98635541004941329</v>
      </c>
      <c r="O13" s="93">
        <f t="shared" ref="O13:Q13" si="1">SUM(O2:O11)</f>
        <v>377390</v>
      </c>
      <c r="P13" s="93">
        <f t="shared" si="1"/>
        <v>437842</v>
      </c>
      <c r="Q13" s="93">
        <f t="shared" si="1"/>
        <v>492952</v>
      </c>
      <c r="R13" s="88">
        <f>O13/G13</f>
        <v>1.1114678007433543</v>
      </c>
      <c r="S13" s="88">
        <f>P13/O13</f>
        <v>1.1601844246005459</v>
      </c>
      <c r="T13" s="88">
        <f>Q13/P13</f>
        <v>1.1258673220020008</v>
      </c>
      <c r="U13" s="86">
        <f>Q13/G13</f>
        <v>1.4518145030658947</v>
      </c>
      <c r="V13" s="89">
        <f>0.6*O13+0.4*P13</f>
        <v>401570.80000000005</v>
      </c>
      <c r="W13" s="93">
        <f>SUM(W2:W11)</f>
        <v>1898149</v>
      </c>
      <c r="X13" s="90">
        <f>W13/V13</f>
        <v>4.7268103158895016</v>
      </c>
      <c r="Y13" s="91">
        <f>X13/'Full 1801-31 data set'!AI$488</f>
        <v>1.0044676417888125</v>
      </c>
    </row>
    <row r="14" spans="1:25" x14ac:dyDescent="0.2">
      <c r="A14" s="98"/>
      <c r="B14" s="93"/>
      <c r="C14" s="93"/>
      <c r="D14" s="93"/>
      <c r="E14" s="93"/>
      <c r="F14" s="93"/>
      <c r="G14" s="93"/>
      <c r="H14" s="85"/>
      <c r="I14" s="86"/>
      <c r="J14" s="86"/>
      <c r="K14" s="86"/>
      <c r="L14" s="85"/>
      <c r="M14" s="85"/>
      <c r="N14" s="87"/>
      <c r="O14" s="93"/>
      <c r="P14" s="93"/>
      <c r="Q14" s="93"/>
      <c r="R14" s="88"/>
      <c r="S14" s="88"/>
      <c r="T14" s="88"/>
      <c r="U14" s="86"/>
      <c r="V14" s="89"/>
      <c r="W14" s="93"/>
      <c r="X14" s="90"/>
      <c r="Y14" s="91"/>
    </row>
    <row r="15" spans="1:25" x14ac:dyDescent="0.2">
      <c r="A15" s="98" t="s">
        <v>639</v>
      </c>
      <c r="B15" s="84" t="s">
        <v>636</v>
      </c>
      <c r="C15" s="84" t="s">
        <v>636</v>
      </c>
      <c r="D15" s="84" t="s">
        <v>636</v>
      </c>
      <c r="E15" s="84" t="s">
        <v>636</v>
      </c>
      <c r="F15" s="84" t="s">
        <v>636</v>
      </c>
      <c r="G15" s="84">
        <f>SUMIF('Full 1801-31 data set'!$D$4:$D$484,99,'Full 1801-31 data set'!R$4:R$484)</f>
        <v>3192</v>
      </c>
      <c r="H15" s="85" t="s">
        <v>636</v>
      </c>
      <c r="I15" s="86" t="s">
        <v>636</v>
      </c>
      <c r="J15" s="86" t="s">
        <v>636</v>
      </c>
      <c r="K15" s="86" t="s">
        <v>636</v>
      </c>
      <c r="L15" s="85" t="s">
        <v>636</v>
      </c>
      <c r="M15" s="85" t="s">
        <v>636</v>
      </c>
      <c r="N15" s="87">
        <f>G15/'Full 1801-31 data set'!R$488</f>
        <v>9.272627447790633E-3</v>
      </c>
      <c r="O15" s="84">
        <f>SUMIF('Full 1801-31 data set'!$D$4:$D$484,99,'Full 1801-31 data set'!Z$4:Z$484)</f>
        <v>3430</v>
      </c>
      <c r="P15" s="84">
        <f>SUMIF('Full 1801-31 data set'!$D$4:$D$484,99,'Full 1801-31 data set'!AA$4:AA$484)</f>
        <v>3781</v>
      </c>
      <c r="Q15" s="84">
        <f>SUMIF('Full 1801-31 data set'!$D$4:$D$484,99,'Full 1801-31 data set'!AB$4:AB$484)</f>
        <v>3883</v>
      </c>
      <c r="R15" s="88">
        <f>O15/G15</f>
        <v>1.0745614035087718</v>
      </c>
      <c r="S15" s="88">
        <f>P15/O15</f>
        <v>1.102332361516035</v>
      </c>
      <c r="T15" s="88">
        <f>Q15/P15</f>
        <v>1.0269769902142289</v>
      </c>
      <c r="U15" s="86">
        <f>Q15/G15</f>
        <v>1.2164786967418546</v>
      </c>
      <c r="V15" s="89">
        <f>0.6*O15+0.4*P15</f>
        <v>3570.4</v>
      </c>
      <c r="W15" s="84">
        <f>SUMIF('Full 1801-31 data set'!$D$4:$D$484,99,'Full 1801-31 data set'!AH$4:AH$484)</f>
        <v>18020</v>
      </c>
      <c r="X15" s="90">
        <f>W15/V15</f>
        <v>5.0470535514228096</v>
      </c>
      <c r="Y15" s="91">
        <f>X15/'Full 1801-31 data set'!AI$488</f>
        <v>1.0725207148122069</v>
      </c>
    </row>
    <row r="16" spans="1:25" x14ac:dyDescent="0.2">
      <c r="A16" s="96" t="s">
        <v>635</v>
      </c>
      <c r="B16" s="84">
        <f>SUMIF('Full 1801-31 data set'!$J$4:$J$484,99,'Full 1801-31 data set'!M$4:M$484)</f>
        <v>814</v>
      </c>
      <c r="C16" s="84">
        <f>SUMIF('Full 1801-31 data set'!$J$4:$J$484,99,'Full 1801-31 data set'!N$4:N$484)</f>
        <v>1023</v>
      </c>
      <c r="D16" s="84">
        <f>SUMIF('Full 1801-31 data set'!$J$4:$J$484,99,'Full 1801-31 data set'!O$4:O$484)</f>
        <v>1210</v>
      </c>
      <c r="E16" s="84">
        <f>SUMIF('Full 1801-31 data set'!$J$4:$J$484,99,'Full 1801-31 data set'!P$4:P$484)</f>
        <v>1022</v>
      </c>
      <c r="F16" s="84">
        <f>SUMIF('Full 1801-31 data set'!$J$4:$J$484,99,'Full 1801-31 data set'!Q$4:Q$484)</f>
        <v>2465</v>
      </c>
      <c r="G16" s="84">
        <f>SUMIF('Full 1801-31 data set'!$J$4:$J$484,99,'Full 1801-31 data set'!R$4:R$484)</f>
        <v>4697</v>
      </c>
      <c r="H16" s="85">
        <f>G16/C16</f>
        <v>4.591397849462366</v>
      </c>
      <c r="I16" s="86">
        <f>D16/G16</f>
        <v>0.2576112412177986</v>
      </c>
      <c r="J16" s="86">
        <f>E16/G16</f>
        <v>0.21758569299552907</v>
      </c>
      <c r="K16" s="86">
        <f>F16/G16</f>
        <v>0.52480306578667235</v>
      </c>
      <c r="L16" s="85">
        <f>E16/D16</f>
        <v>0.84462809917355375</v>
      </c>
      <c r="M16" s="85">
        <f>F16/(D16+E16)</f>
        <v>1.1043906810035842</v>
      </c>
      <c r="N16" s="87">
        <f>G16/'Full 1801-31 data set'!R$488</f>
        <v>1.3644589950586657E-2</v>
      </c>
      <c r="O16" s="84">
        <f>SUMIF('Full 1801-31 data set'!$J$4:$J$484,99,'Full 1801-31 data set'!Z$4:Z$484)</f>
        <v>4818</v>
      </c>
      <c r="P16" s="84">
        <f>SUMIF('Full 1801-31 data set'!$J$4:$J$484,99,'Full 1801-31 data set'!AA$4:AA$484)</f>
        <v>4996</v>
      </c>
      <c r="Q16" s="84">
        <f>SUMIF('Full 1801-31 data set'!$J$4:$J$484,99,'Full 1801-31 data set'!AB$4:AB$484)</f>
        <v>5142</v>
      </c>
      <c r="R16" s="88">
        <f>O16/G16</f>
        <v>1.0257611241217799</v>
      </c>
      <c r="S16" s="88">
        <f>P16/O16</f>
        <v>1.036944790369448</v>
      </c>
      <c r="T16" s="88">
        <f>Q16/P16</f>
        <v>1.0292233787029623</v>
      </c>
      <c r="U16" s="86">
        <f>Q16/G16</f>
        <v>1.094741324249521</v>
      </c>
      <c r="V16" s="89">
        <f>0.6*O16+0.4*P16</f>
        <v>4889.2</v>
      </c>
      <c r="W16" s="84">
        <f>SUMIF('Full 1801-31 data set'!$J$4:$J$484,99,'Full 1801-31 data set'!AH$4:AH$484)</f>
        <v>14565</v>
      </c>
      <c r="X16" s="90">
        <f>W16/V16</f>
        <v>2.9790149717745233</v>
      </c>
      <c r="Y16" s="91">
        <f>X16/'Full 1801-31 data set'!AI$488</f>
        <v>0.6330535696541526</v>
      </c>
    </row>
    <row r="17" spans="1:25" x14ac:dyDescent="0.2">
      <c r="A17" s="98" t="s">
        <v>633</v>
      </c>
      <c r="B17" s="94">
        <f>B13+B16</f>
        <v>57962</v>
      </c>
      <c r="C17" s="94">
        <f t="shared" ref="C17:G17" si="2">C13+C16</f>
        <v>72689</v>
      </c>
      <c r="D17" s="94">
        <f t="shared" si="2"/>
        <v>96417</v>
      </c>
      <c r="E17" s="94">
        <f t="shared" si="2"/>
        <v>62111</v>
      </c>
      <c r="F17" s="94">
        <f t="shared" si="2"/>
        <v>182519</v>
      </c>
      <c r="G17" s="94">
        <f t="shared" si="2"/>
        <v>344239</v>
      </c>
      <c r="H17" s="85">
        <f>G17/C17</f>
        <v>4.7357784534111076</v>
      </c>
      <c r="I17" s="86">
        <f>D17/G17</f>
        <v>0.28008738115088644</v>
      </c>
      <c r="J17" s="86">
        <f>E17/G17</f>
        <v>0.18042987575492608</v>
      </c>
      <c r="K17" s="86">
        <f>F17/G17</f>
        <v>0.53021011564639686</v>
      </c>
      <c r="L17" s="85">
        <f>E17/D17</f>
        <v>0.64419137703931884</v>
      </c>
      <c r="M17" s="85">
        <f>F17/(D17+E17)</f>
        <v>1.1513360415825595</v>
      </c>
      <c r="N17" s="87">
        <f>G17/'Full 1801-31 data set'!R$488</f>
        <v>1</v>
      </c>
      <c r="O17" s="94">
        <f t="shared" ref="O17:Q17" si="3">O13+O16</f>
        <v>382208</v>
      </c>
      <c r="P17" s="94">
        <f t="shared" si="3"/>
        <v>442838</v>
      </c>
      <c r="Q17" s="94">
        <f t="shared" si="3"/>
        <v>498094</v>
      </c>
      <c r="R17" s="88">
        <f>O17/G17</f>
        <v>1.1102983682848253</v>
      </c>
      <c r="S17" s="88">
        <f>P17/O17</f>
        <v>1.1586309025452111</v>
      </c>
      <c r="T17" s="88">
        <f>Q17/P17</f>
        <v>1.124777006489958</v>
      </c>
      <c r="U17" s="86">
        <f>Q17/G17</f>
        <v>1.4469423859585928</v>
      </c>
      <c r="V17" s="89">
        <f>0.6*O17+0.4*P17</f>
        <v>406460</v>
      </c>
      <c r="W17" s="94">
        <f>W13+W16</f>
        <v>1912714</v>
      </c>
      <c r="X17" s="90">
        <f>W17/V17</f>
        <v>4.7057865472617229</v>
      </c>
      <c r="Y17" s="91">
        <f>X17/'Full 1801-31 data set'!AI$488</f>
        <v>1</v>
      </c>
    </row>
    <row r="19" spans="1:25" x14ac:dyDescent="0.2">
      <c r="A19" s="99" t="s">
        <v>638</v>
      </c>
    </row>
  </sheetData>
  <autoFilter ref="A1:Y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topLeftCell="A9" workbookViewId="0">
      <selection activeCell="D30" sqref="D30"/>
    </sheetView>
  </sheetViews>
  <sheetFormatPr defaultRowHeight="12.75" x14ac:dyDescent="0.2"/>
  <cols>
    <col min="1" max="1" width="40.140625" bestFit="1" customWidth="1"/>
    <col min="2" max="2" width="9.140625" customWidth="1"/>
    <col min="23" max="23" width="10.42578125" customWidth="1"/>
  </cols>
  <sheetData>
    <row r="1" spans="1:25" x14ac:dyDescent="0.2">
      <c r="A1" s="3" t="s">
        <v>550</v>
      </c>
      <c r="B1" s="19" t="s">
        <v>521</v>
      </c>
      <c r="C1" s="3" t="s">
        <v>443</v>
      </c>
      <c r="D1" s="3" t="s">
        <v>444</v>
      </c>
      <c r="E1" s="3" t="s">
        <v>445</v>
      </c>
      <c r="F1" s="3" t="s">
        <v>446</v>
      </c>
      <c r="G1" s="11" t="s">
        <v>603</v>
      </c>
      <c r="H1" s="3" t="s">
        <v>450</v>
      </c>
      <c r="I1" s="3" t="s">
        <v>451</v>
      </c>
      <c r="J1" s="3" t="s">
        <v>452</v>
      </c>
      <c r="K1" s="3" t="s">
        <v>453</v>
      </c>
      <c r="L1" s="3" t="s">
        <v>454</v>
      </c>
      <c r="M1" s="3" t="s">
        <v>455</v>
      </c>
      <c r="N1" s="19" t="s">
        <v>604</v>
      </c>
      <c r="O1" s="19" t="s">
        <v>605</v>
      </c>
      <c r="P1" s="19" t="s">
        <v>606</v>
      </c>
      <c r="Q1" s="19" t="s">
        <v>607</v>
      </c>
      <c r="R1" s="19" t="s">
        <v>608</v>
      </c>
      <c r="S1" s="19" t="s">
        <v>609</v>
      </c>
      <c r="T1" s="19" t="s">
        <v>610</v>
      </c>
      <c r="U1" s="19" t="s">
        <v>611</v>
      </c>
      <c r="V1" s="19" t="s">
        <v>612</v>
      </c>
      <c r="W1" s="19" t="s">
        <v>613</v>
      </c>
      <c r="X1" s="19" t="s">
        <v>614</v>
      </c>
      <c r="Y1" s="19" t="s">
        <v>615</v>
      </c>
    </row>
    <row r="2" spans="1:25" x14ac:dyDescent="0.2">
      <c r="A2" s="4" t="s">
        <v>456</v>
      </c>
      <c r="B2" s="8">
        <f>SUMIF('Full 1801-31 data set'!$K$4:$K$484,1,'Full 1801-31 data set'!M$4:M$484)</f>
        <v>7093</v>
      </c>
      <c r="C2" s="8">
        <f>SUMIF('Full 1801-31 data set'!$K$4:$K$484,1,'Full 1801-31 data set'!N$4:N$484)</f>
        <v>7783</v>
      </c>
      <c r="D2" s="8">
        <f>SUMIF('Full 1801-31 data set'!$K$4:$K$484,1,'Full 1801-31 data set'!O$4:O$484)</f>
        <v>11998</v>
      </c>
      <c r="E2" s="8">
        <f>SUMIF('Full 1801-31 data set'!$K$4:$K$484,1,'Full 1801-31 data set'!P$4:P$484)</f>
        <v>6053</v>
      </c>
      <c r="F2" s="8">
        <f>SUMIF('Full 1801-31 data set'!$K$4:$K$484,1,'Full 1801-31 data set'!Q$4:Q$484)</f>
        <v>19399</v>
      </c>
      <c r="G2" s="8">
        <f>SUMIF('Full 1801-31 data set'!$K$4:$K$484,1,'Full 1801-31 data set'!R$4:R$484)</f>
        <v>37450</v>
      </c>
      <c r="H2" s="9">
        <f t="shared" ref="H2:H9" si="0">G2/C2</f>
        <v>4.8117692406527048</v>
      </c>
      <c r="I2" s="10">
        <f t="shared" ref="I2:I9" si="1">D2/G2</f>
        <v>0.32037383177570095</v>
      </c>
      <c r="J2" s="10">
        <f t="shared" ref="J2:J9" si="2">E2/G2</f>
        <v>0.16162883845126835</v>
      </c>
      <c r="K2" s="10">
        <f t="shared" ref="K2:K9" si="3">F2/G2</f>
        <v>0.5179973297730307</v>
      </c>
      <c r="L2" s="9">
        <f t="shared" ref="L2:L9" si="4">E2/D2</f>
        <v>0.50450075012502082</v>
      </c>
      <c r="M2" s="9">
        <f t="shared" ref="M2:M9" si="5">F2/(D2+E2)</f>
        <v>1.0746773031964989</v>
      </c>
      <c r="N2" s="65">
        <f>G2/G$11</f>
        <v>0.10980891196814516</v>
      </c>
      <c r="O2" s="8">
        <f>SUMIF('Full 1801-31 data set'!$K$4:$K$484,1,'Full 1801-31 data set'!Z$4:Z$484)</f>
        <v>39853</v>
      </c>
      <c r="P2" s="8">
        <f>SUMIF('Full 1801-31 data set'!$K$4:$K$484,1,'Full 1801-31 data set'!AA$4:AA$484)</f>
        <v>47853</v>
      </c>
      <c r="Q2" s="8">
        <f>SUMIF('Full 1801-31 data set'!$K$4:$K$484,1,'Full 1801-31 data set'!AB$4:AB$484)</f>
        <v>55456</v>
      </c>
      <c r="R2" s="17">
        <f t="shared" ref="R2" si="6">O2/G2</f>
        <v>1.0641655540720962</v>
      </c>
      <c r="S2" s="17">
        <f t="shared" ref="S2:T2" si="7">P2/O2</f>
        <v>1.2007377110882493</v>
      </c>
      <c r="T2" s="17">
        <f t="shared" si="7"/>
        <v>1.1588824107161515</v>
      </c>
      <c r="U2" s="17">
        <f t="shared" ref="U2" si="8">Q2/G2</f>
        <v>1.4808010680907877</v>
      </c>
      <c r="V2" s="18">
        <f t="shared" ref="V2" si="9">0.6*O2+0.4*P2</f>
        <v>43053</v>
      </c>
      <c r="W2" s="73">
        <f>SUMIF('Full 1801-31 data set'!$K$4:$K$484,1,'Full 1801-31 data set'!AH$4:AH$484)</f>
        <v>189364</v>
      </c>
      <c r="X2" s="70">
        <f t="shared" ref="X2" si="10">W2/V2</f>
        <v>4.3983926787912573</v>
      </c>
      <c r="Y2" s="74">
        <f>X2/X$11</f>
        <v>0.93527855527126713</v>
      </c>
    </row>
    <row r="3" spans="1:25" x14ac:dyDescent="0.2">
      <c r="A3" s="4" t="s">
        <v>457</v>
      </c>
      <c r="B3" s="8">
        <f>SUMIF('Full 1801-31 data set'!$K$4:$K$484,2,'Full 1801-31 data set'!M$4:M$484)</f>
        <v>9748</v>
      </c>
      <c r="C3" s="8">
        <f>SUMIF('Full 1801-31 data set'!$K$4:$K$484,2,'Full 1801-31 data set'!N$4:N$484)</f>
        <v>10682</v>
      </c>
      <c r="D3" s="8">
        <f>SUMIF('Full 1801-31 data set'!$K$4:$K$484,2,'Full 1801-31 data set'!O$4:O$484)</f>
        <v>22896</v>
      </c>
      <c r="E3" s="8">
        <f>SUMIF('Full 1801-31 data set'!$K$4:$K$484,2,'Full 1801-31 data set'!P$4:P$484)</f>
        <v>8379</v>
      </c>
      <c r="F3" s="8">
        <f>SUMIF('Full 1801-31 data set'!$K$4:$K$484,2,'Full 1801-31 data set'!Q$4:Q$484)</f>
        <v>22772</v>
      </c>
      <c r="G3" s="8">
        <f>SUMIF('Full 1801-31 data set'!$K$4:$K$484,2,'Full 1801-31 data set'!R$4:R$484)</f>
        <v>54047</v>
      </c>
      <c r="H3" s="9">
        <f t="shared" si="0"/>
        <v>5.0596330275229358</v>
      </c>
      <c r="I3" s="10">
        <f t="shared" si="1"/>
        <v>0.42363128388254667</v>
      </c>
      <c r="J3" s="10">
        <f t="shared" si="2"/>
        <v>0.15503173164097914</v>
      </c>
      <c r="K3" s="10">
        <f t="shared" si="3"/>
        <v>0.42133698447647416</v>
      </c>
      <c r="L3" s="9">
        <f t="shared" si="4"/>
        <v>0.36595911949685533</v>
      </c>
      <c r="M3" s="9">
        <f t="shared" si="5"/>
        <v>0.72812150279776178</v>
      </c>
      <c r="N3" s="65">
        <f t="shared" ref="N3:N9" si="11">G3/G$11</f>
        <v>0.15847375874879416</v>
      </c>
      <c r="O3" s="8">
        <f>SUMIF('Full 1801-31 data set'!$K$4:$K$484,2,'Full 1801-31 data set'!Z$4:Z$484)</f>
        <v>56930</v>
      </c>
      <c r="P3" s="8">
        <f>SUMIF('Full 1801-31 data set'!$K$4:$K$484,2,'Full 1801-31 data set'!AA$4:AA$484)</f>
        <v>65289</v>
      </c>
      <c r="Q3" s="8">
        <f>SUMIF('Full 1801-31 data set'!$K$4:$K$484,2,'Full 1801-31 data set'!AB$4:AB$484)</f>
        <v>71099</v>
      </c>
      <c r="R3" s="17">
        <f t="shared" ref="R3:R9" si="12">O3/G3</f>
        <v>1.0533424611911855</v>
      </c>
      <c r="S3" s="17">
        <f t="shared" ref="S3:S9" si="13">P3/O3</f>
        <v>1.1468294396627436</v>
      </c>
      <c r="T3" s="17">
        <f t="shared" ref="T3:T9" si="14">Q3/P3</f>
        <v>1.0889889567921089</v>
      </c>
      <c r="U3" s="17">
        <f t="shared" ref="U3:U9" si="15">Q3/G3</f>
        <v>1.3155031731640978</v>
      </c>
      <c r="V3" s="18">
        <f t="shared" ref="V3:V9" si="16">0.6*O3+0.4*P3</f>
        <v>60273.600000000006</v>
      </c>
      <c r="W3" s="73">
        <f>SUMIF('Full 1801-31 data set'!$K$4:$K$484,2,'Full 1801-31 data set'!AH$4:AH$484)</f>
        <v>256321</v>
      </c>
      <c r="X3" s="70">
        <f t="shared" ref="X3:X9" si="17">W3/V3</f>
        <v>4.2526246980435873</v>
      </c>
      <c r="Y3" s="74">
        <f t="shared" ref="Y3:Y9" si="18">X3/X$11</f>
        <v>0.90428230814311006</v>
      </c>
    </row>
    <row r="4" spans="1:25" x14ac:dyDescent="0.2">
      <c r="A4" s="4" t="s">
        <v>458</v>
      </c>
      <c r="B4" s="8">
        <f>SUMIF('Full 1801-31 data set'!$K$4:$K$484,3,'Full 1801-31 data set'!M$4:M$484)</f>
        <v>3284</v>
      </c>
      <c r="C4" s="8">
        <f>SUMIF('Full 1801-31 data set'!$K$4:$K$484,3,'Full 1801-31 data set'!N$4:N$484)</f>
        <v>3691</v>
      </c>
      <c r="D4" s="8">
        <f>SUMIF('Full 1801-31 data set'!$K$4:$K$484,3,'Full 1801-31 data set'!O$4:O$484)</f>
        <v>8539</v>
      </c>
      <c r="E4" s="8">
        <f>SUMIF('Full 1801-31 data set'!$K$4:$K$484,3,'Full 1801-31 data set'!P$4:P$484)</f>
        <v>1496</v>
      </c>
      <c r="F4" s="8">
        <f>SUMIF('Full 1801-31 data set'!$K$4:$K$484,3,'Full 1801-31 data set'!Q$4:Q$484)</f>
        <v>8954</v>
      </c>
      <c r="G4" s="8">
        <f>SUMIF('Full 1801-31 data set'!$K$4:$K$484,3,'Full 1801-31 data set'!R$4:R$484)</f>
        <v>18989</v>
      </c>
      <c r="H4" s="9">
        <f t="shared" si="0"/>
        <v>5.1446762395014902</v>
      </c>
      <c r="I4" s="10">
        <f t="shared" si="1"/>
        <v>0.44968139449154776</v>
      </c>
      <c r="J4" s="10">
        <f t="shared" si="2"/>
        <v>7.8782452999104746E-2</v>
      </c>
      <c r="K4" s="10">
        <f t="shared" si="3"/>
        <v>0.47153615250934749</v>
      </c>
      <c r="L4" s="9">
        <f t="shared" si="4"/>
        <v>0.17519615880079634</v>
      </c>
      <c r="M4" s="9">
        <f t="shared" si="5"/>
        <v>0.89227703039362227</v>
      </c>
      <c r="N4" s="65">
        <f t="shared" si="11"/>
        <v>5.5678542840136402E-2</v>
      </c>
      <c r="O4" s="8">
        <f>SUMIF('Full 1801-31 data set'!$K$4:$K$484,3,'Full 1801-31 data set'!Z$4:Z$484)</f>
        <v>21386</v>
      </c>
      <c r="P4" s="8">
        <f>SUMIF('Full 1801-31 data set'!$K$4:$K$484,3,'Full 1801-31 data set'!AA$4:AA$484)</f>
        <v>25532</v>
      </c>
      <c r="Q4" s="8">
        <f>SUMIF('Full 1801-31 data set'!$K$4:$K$484,3,'Full 1801-31 data set'!AB$4:AB$484)</f>
        <v>28273</v>
      </c>
      <c r="R4" s="17">
        <f t="shared" si="12"/>
        <v>1.126230975828111</v>
      </c>
      <c r="S4" s="17">
        <f t="shared" si="13"/>
        <v>1.1938651454222389</v>
      </c>
      <c r="T4" s="17">
        <f t="shared" si="14"/>
        <v>1.1073554754817483</v>
      </c>
      <c r="U4" s="17">
        <f t="shared" si="15"/>
        <v>1.4889146347885618</v>
      </c>
      <c r="V4" s="18">
        <f t="shared" si="16"/>
        <v>23044.400000000001</v>
      </c>
      <c r="W4" s="73">
        <f>SUMIF('Full 1801-31 data set'!$K$4:$K$484,3,'Full 1801-31 data set'!AH$4:AH$484)</f>
        <v>96976</v>
      </c>
      <c r="X4" s="70">
        <f t="shared" si="17"/>
        <v>4.208224123865234</v>
      </c>
      <c r="Y4" s="74">
        <f t="shared" si="18"/>
        <v>0.89484092627855194</v>
      </c>
    </row>
    <row r="5" spans="1:25" x14ac:dyDescent="0.2">
      <c r="A5" s="4" t="s">
        <v>459</v>
      </c>
      <c r="B5" s="8">
        <f>SUMIF('Full 1801-31 data set'!$K$4:$K$484,4,'Full 1801-31 data set'!M$4:M$484)</f>
        <v>17586</v>
      </c>
      <c r="C5" s="8">
        <f>SUMIF('Full 1801-31 data set'!$K$4:$K$484,4,'Full 1801-31 data set'!N$4:N$484)</f>
        <v>26954</v>
      </c>
      <c r="D5" s="8">
        <f>SUMIF('Full 1801-31 data set'!$K$4:$K$484,4,'Full 1801-31 data set'!O$4:O$484)</f>
        <v>23029</v>
      </c>
      <c r="E5" s="8">
        <f>SUMIF('Full 1801-31 data set'!$K$4:$K$484,4,'Full 1801-31 data set'!P$4:P$484)</f>
        <v>20638</v>
      </c>
      <c r="F5" s="8">
        <f>SUMIF('Full 1801-31 data set'!$K$4:$K$484,4,'Full 1801-31 data set'!Q$4:Q$484)</f>
        <v>78317</v>
      </c>
      <c r="G5" s="8">
        <f>SUMIF('Full 1801-31 data set'!$K$4:$K$484,4,'Full 1801-31 data set'!R$4:R$484)</f>
        <v>121984</v>
      </c>
      <c r="H5" s="9">
        <f t="shared" si="0"/>
        <v>4.525636269199377</v>
      </c>
      <c r="I5" s="10">
        <f t="shared" si="1"/>
        <v>0.18878705403987409</v>
      </c>
      <c r="J5" s="10">
        <f t="shared" si="2"/>
        <v>0.16918612277019937</v>
      </c>
      <c r="K5" s="10">
        <f t="shared" si="3"/>
        <v>0.64202682318992654</v>
      </c>
      <c r="L5" s="9">
        <f t="shared" si="4"/>
        <v>0.89617438881410394</v>
      </c>
      <c r="M5" s="9">
        <f t="shared" si="5"/>
        <v>1.7935053930886025</v>
      </c>
      <c r="N5" s="65">
        <f t="shared" si="11"/>
        <v>0.35767504185640103</v>
      </c>
      <c r="O5" s="8">
        <f>SUMIF('Full 1801-31 data set'!$K$4:$K$484,4,'Full 1801-31 data set'!Z$4:Z$484)</f>
        <v>144439</v>
      </c>
      <c r="P5" s="8">
        <f>SUMIF('Full 1801-31 data set'!$K$4:$K$484,4,'Full 1801-31 data set'!AA$4:AA$484)</f>
        <v>163060</v>
      </c>
      <c r="Q5" s="8">
        <f>SUMIF('Full 1801-31 data set'!$K$4:$K$484,4,'Full 1801-31 data set'!AB$4:AB$484)</f>
        <v>185599</v>
      </c>
      <c r="R5" s="17">
        <f t="shared" si="12"/>
        <v>1.184081518887723</v>
      </c>
      <c r="S5" s="17">
        <f t="shared" si="13"/>
        <v>1.1289194746571216</v>
      </c>
      <c r="T5" s="17">
        <f t="shared" si="14"/>
        <v>1.1382251931804244</v>
      </c>
      <c r="U5" s="17">
        <f t="shared" si="15"/>
        <v>1.5215028200419727</v>
      </c>
      <c r="V5" s="18">
        <f t="shared" si="16"/>
        <v>151887.4</v>
      </c>
      <c r="W5" s="73">
        <f>SUMIF('Full 1801-31 data set'!$K$4:$K$484,4,'Full 1801-31 data set'!AH$4:AH$484)</f>
        <v>730056</v>
      </c>
      <c r="X5" s="70">
        <f t="shared" si="17"/>
        <v>4.8065606495337994</v>
      </c>
      <c r="Y5" s="74">
        <f t="shared" si="18"/>
        <v>1.0220717949528593</v>
      </c>
    </row>
    <row r="6" spans="1:25" x14ac:dyDescent="0.2">
      <c r="A6" s="4" t="s">
        <v>460</v>
      </c>
      <c r="B6" s="8">
        <f>SUMIF('Full 1801-31 data set'!$K$4:$K$484,5,'Full 1801-31 data set'!M$4:M$484)</f>
        <v>1303</v>
      </c>
      <c r="C6" s="8">
        <f>SUMIF('Full 1801-31 data set'!$K$4:$K$484,5,'Full 1801-31 data set'!N$4:N$484)</f>
        <v>1345</v>
      </c>
      <c r="D6" s="8">
        <f>SUMIF('Full 1801-31 data set'!$K$4:$K$484,5,'Full 1801-31 data set'!O$4:O$484)</f>
        <v>3021</v>
      </c>
      <c r="E6" s="8">
        <f>SUMIF('Full 1801-31 data set'!$K$4:$K$484,5,'Full 1801-31 data set'!P$4:P$484)</f>
        <v>891</v>
      </c>
      <c r="F6" s="8">
        <f>SUMIF('Full 1801-31 data set'!$K$4:$K$484,5,'Full 1801-31 data set'!Q$4:Q$484)</f>
        <v>3253</v>
      </c>
      <c r="G6" s="8">
        <f>SUMIF('Full 1801-31 data set'!$K$4:$K$484,5,'Full 1801-31 data set'!R$4:R$484)</f>
        <v>7165</v>
      </c>
      <c r="H6" s="9">
        <f t="shared" si="0"/>
        <v>5.3271375464684017</v>
      </c>
      <c r="I6" s="10">
        <f t="shared" si="1"/>
        <v>0.42163293789253314</v>
      </c>
      <c r="J6" s="10">
        <f t="shared" si="2"/>
        <v>0.12435450104675506</v>
      </c>
      <c r="K6" s="10">
        <f t="shared" si="3"/>
        <v>0.45401256106071181</v>
      </c>
      <c r="L6" s="9">
        <f t="shared" si="4"/>
        <v>0.29493545183714004</v>
      </c>
      <c r="M6" s="9">
        <f t="shared" si="5"/>
        <v>0.83154396728016355</v>
      </c>
      <c r="N6" s="65">
        <f t="shared" si="11"/>
        <v>2.1008834559459545E-2</v>
      </c>
      <c r="O6" s="8">
        <f>SUMIF('Full 1801-31 data set'!$K$4:$K$484,5,'Full 1801-31 data set'!Z$4:Z$484)</f>
        <v>7255</v>
      </c>
      <c r="P6" s="8">
        <f>SUMIF('Full 1801-31 data set'!$K$4:$K$484,5,'Full 1801-31 data set'!AA$4:AA$484)</f>
        <v>8160</v>
      </c>
      <c r="Q6" s="8">
        <f>SUMIF('Full 1801-31 data set'!$K$4:$K$484,5,'Full 1801-31 data set'!AB$4:AB$484)</f>
        <v>8707</v>
      </c>
      <c r="R6" s="17">
        <f t="shared" si="12"/>
        <v>1.0125610607117934</v>
      </c>
      <c r="S6" s="17">
        <f t="shared" si="13"/>
        <v>1.1247415575465196</v>
      </c>
      <c r="T6" s="17">
        <f t="shared" si="14"/>
        <v>1.0670343137254903</v>
      </c>
      <c r="U6" s="17">
        <f t="shared" si="15"/>
        <v>1.2152128401953943</v>
      </c>
      <c r="V6" s="18">
        <f t="shared" si="16"/>
        <v>7617</v>
      </c>
      <c r="W6" s="73">
        <f>SUMIF('Full 1801-31 data set'!$K$4:$K$484,5,'Full 1801-31 data set'!AH$4:AH$484)</f>
        <v>32892</v>
      </c>
      <c r="X6" s="70">
        <f t="shared" si="17"/>
        <v>4.318235525797558</v>
      </c>
      <c r="Y6" s="74">
        <f t="shared" si="18"/>
        <v>0.91823385923762257</v>
      </c>
    </row>
    <row r="7" spans="1:25" x14ac:dyDescent="0.2">
      <c r="A7" s="4" t="s">
        <v>461</v>
      </c>
      <c r="B7" s="8">
        <f>SUMIF('Full 1801-31 data set'!$K$4:$K$484,6,'Full 1801-31 data set'!M$4:M$484)</f>
        <v>11940</v>
      </c>
      <c r="C7" s="8">
        <f>SUMIF('Full 1801-31 data set'!$K$4:$K$484,6,'Full 1801-31 data set'!N$4:N$484)</f>
        <v>13477</v>
      </c>
      <c r="D7" s="8">
        <f>SUMIF('Full 1801-31 data set'!$K$4:$K$484,6,'Full 1801-31 data set'!O$4:O$484)</f>
        <v>19353</v>
      </c>
      <c r="E7" s="8">
        <f>SUMIF('Full 1801-31 data set'!$K$4:$K$484,6,'Full 1801-31 data set'!P$4:P$484)</f>
        <v>15395</v>
      </c>
      <c r="F7" s="8">
        <f>SUMIF('Full 1801-31 data set'!$K$4:$K$484,6,'Full 1801-31 data set'!Q$4:Q$484)</f>
        <v>25902</v>
      </c>
      <c r="G7" s="8">
        <f>SUMIF('Full 1801-31 data set'!$K$4:$K$484,6,'Full 1801-31 data set'!R$4:R$484)</f>
        <v>60650</v>
      </c>
      <c r="H7" s="9">
        <f t="shared" si="0"/>
        <v>4.5002597017140316</v>
      </c>
      <c r="I7" s="10">
        <f t="shared" si="1"/>
        <v>0.31909315746084088</v>
      </c>
      <c r="J7" s="10">
        <f t="shared" si="2"/>
        <v>0.25383347073371804</v>
      </c>
      <c r="K7" s="10">
        <f t="shared" si="3"/>
        <v>0.42707337180544108</v>
      </c>
      <c r="L7" s="9">
        <f t="shared" si="4"/>
        <v>0.79548390430424221</v>
      </c>
      <c r="M7" s="9">
        <f t="shared" si="5"/>
        <v>0.74542419707609076</v>
      </c>
      <c r="N7" s="65">
        <f t="shared" si="11"/>
        <v>0.177834726591936</v>
      </c>
      <c r="O7" s="8">
        <f>SUMIF('Full 1801-31 data set'!$K$4:$K$484,6,'Full 1801-31 data set'!Z$4:Z$484)</f>
        <v>65135</v>
      </c>
      <c r="P7" s="8">
        <f>SUMIF('Full 1801-31 data set'!$K$4:$K$484,6,'Full 1801-31 data set'!AA$4:AA$484)</f>
        <v>75987</v>
      </c>
      <c r="Q7" s="8">
        <f>SUMIF('Full 1801-31 data set'!$K$4:$K$484,6,'Full 1801-31 data set'!AB$4:AB$484)</f>
        <v>85421</v>
      </c>
      <c r="R7" s="17">
        <f t="shared" si="12"/>
        <v>1.0739488870568838</v>
      </c>
      <c r="S7" s="17">
        <f t="shared" si="13"/>
        <v>1.1666078145390344</v>
      </c>
      <c r="T7" s="17">
        <f t="shared" si="14"/>
        <v>1.124152815613197</v>
      </c>
      <c r="U7" s="17">
        <f t="shared" si="15"/>
        <v>1.4084253915910965</v>
      </c>
      <c r="V7" s="18">
        <f t="shared" si="16"/>
        <v>69475.8</v>
      </c>
      <c r="W7" s="73">
        <f>SUMIF('Full 1801-31 data set'!$K$4:$K$484,6,'Full 1801-31 data set'!AH$4:AH$484)</f>
        <v>373063</v>
      </c>
      <c r="X7" s="70">
        <f t="shared" si="17"/>
        <v>5.3696826808759308</v>
      </c>
      <c r="Y7" s="74">
        <f t="shared" si="18"/>
        <v>1.1418146188382037</v>
      </c>
    </row>
    <row r="8" spans="1:25" s="16" customFormat="1" x14ac:dyDescent="0.2">
      <c r="A8" s="4" t="s">
        <v>462</v>
      </c>
      <c r="B8" s="8">
        <f>SUMIF('Full 1801-31 data set'!$K$4:$K$484,7,'Full 1801-31 data set'!M$4:M$484)</f>
        <v>4316</v>
      </c>
      <c r="C8" s="8">
        <f>SUMIF('Full 1801-31 data set'!$K$4:$K$484,7,'Full 1801-31 data set'!N$4:N$484)</f>
        <v>4810</v>
      </c>
      <c r="D8" s="8">
        <f>SUMIF('Full 1801-31 data set'!$K$4:$K$484,7,'Full 1801-31 data set'!O$4:O$484)</f>
        <v>7398</v>
      </c>
      <c r="E8" s="8">
        <f>SUMIF('Full 1801-31 data set'!$K$4:$K$484,7,'Full 1801-31 data set'!P$4:P$484)</f>
        <v>4746</v>
      </c>
      <c r="F8" s="8">
        <f>SUMIF('Full 1801-31 data set'!$K$4:$K$484,7,'Full 1801-31 data set'!Q$4:Q$484)</f>
        <v>11220</v>
      </c>
      <c r="G8" s="8">
        <f>SUMIF('Full 1801-31 data set'!$K$4:$K$484,7,'Full 1801-31 data set'!R$4:R$484)</f>
        <v>23364</v>
      </c>
      <c r="H8" s="9">
        <f t="shared" si="0"/>
        <v>4.8573804573804571</v>
      </c>
      <c r="I8" s="10">
        <f t="shared" si="1"/>
        <v>0.31664098613251157</v>
      </c>
      <c r="J8" s="10">
        <f t="shared" si="2"/>
        <v>0.20313302516692347</v>
      </c>
      <c r="K8" s="10">
        <f t="shared" si="3"/>
        <v>0.48022598870056499</v>
      </c>
      <c r="L8" s="9">
        <f t="shared" si="4"/>
        <v>0.64152473641524732</v>
      </c>
      <c r="M8" s="9">
        <f t="shared" si="5"/>
        <v>0.92391304347826086</v>
      </c>
      <c r="N8" s="65">
        <f t="shared" si="11"/>
        <v>6.8506686761648686E-2</v>
      </c>
      <c r="O8" s="8">
        <f>SUMIF('Full 1801-31 data set'!$K$4:$K$484,7,'Full 1801-31 data set'!Z$4:Z$484)</f>
        <v>24884</v>
      </c>
      <c r="P8" s="8">
        <f>SUMIF('Full 1801-31 data set'!$K$4:$K$484,7,'Full 1801-31 data set'!AA$4:AA$484)</f>
        <v>29697</v>
      </c>
      <c r="Q8" s="8">
        <f>SUMIF('Full 1801-31 data set'!$K$4:$K$484,7,'Full 1801-31 data set'!AB$4:AB$484)</f>
        <v>31455</v>
      </c>
      <c r="R8" s="17">
        <f t="shared" si="12"/>
        <v>1.0650573531929464</v>
      </c>
      <c r="S8" s="17">
        <f t="shared" si="13"/>
        <v>1.1934174570004823</v>
      </c>
      <c r="T8" s="17">
        <f t="shared" si="14"/>
        <v>1.0591978987776542</v>
      </c>
      <c r="U8" s="17">
        <f t="shared" si="15"/>
        <v>1.3463020030816641</v>
      </c>
      <c r="V8" s="18">
        <f t="shared" si="16"/>
        <v>26809.200000000001</v>
      </c>
      <c r="W8" s="73">
        <f>SUMIF('Full 1801-31 data set'!$K$4:$K$484,7,'Full 1801-31 data set'!AH$4:AH$484)</f>
        <v>161792</v>
      </c>
      <c r="X8" s="70">
        <f t="shared" si="17"/>
        <v>6.034943228443967</v>
      </c>
      <c r="Y8" s="74">
        <f t="shared" si="18"/>
        <v>1.2832762775047046</v>
      </c>
    </row>
    <row r="9" spans="1:25" x14ac:dyDescent="0.2">
      <c r="A9" s="4" t="s">
        <v>463</v>
      </c>
      <c r="B9" s="8">
        <f>SUMIF('Full 1801-31 data set'!$K$4:$K$484,"Exeter",'Full 1801-31 data set'!M$4:M$484)</f>
        <v>2692</v>
      </c>
      <c r="C9" s="8">
        <f>SUMIF('Full 1801-31 data set'!$K$4:$K$484,"Exeter",'Full 1801-31 data set'!N$4:N$484)</f>
        <v>3947</v>
      </c>
      <c r="D9" s="8">
        <f>SUMIF('Full 1801-31 data set'!$K$4:$K$484,"Exeter",'Full 1801-31 data set'!O$4:O$484)</f>
        <v>183</v>
      </c>
      <c r="E9" s="8">
        <f>SUMIF('Full 1801-31 data set'!$K$4:$K$484,"Exeter",'Full 1801-31 data set'!P$4:P$484)</f>
        <v>4513</v>
      </c>
      <c r="F9" s="8">
        <f>SUMIF('Full 1801-31 data set'!$K$4:$K$484,"Exeter",'Full 1801-31 data set'!Q$4:Q$484)</f>
        <v>12702</v>
      </c>
      <c r="G9" s="8">
        <f>SUMIF('Full 1801-31 data set'!$K$4:$K$484,"Exeter",'Full 1801-31 data set'!R$4:R$484)</f>
        <v>17398</v>
      </c>
      <c r="H9" s="9">
        <f t="shared" si="0"/>
        <v>4.4079047377755254</v>
      </c>
      <c r="I9" s="10">
        <f t="shared" si="1"/>
        <v>1.0518450396597309E-2</v>
      </c>
      <c r="J9" s="10">
        <f t="shared" si="2"/>
        <v>0.259397631911714</v>
      </c>
      <c r="K9" s="10">
        <f t="shared" si="3"/>
        <v>0.73008391769168868</v>
      </c>
      <c r="L9" s="9">
        <f t="shared" si="4"/>
        <v>24.661202185792348</v>
      </c>
      <c r="M9" s="9">
        <f t="shared" si="5"/>
        <v>2.704855195911414</v>
      </c>
      <c r="N9" s="65">
        <f t="shared" si="11"/>
        <v>5.1013496673479021E-2</v>
      </c>
      <c r="O9" s="8">
        <f>SUMIF('Full 1801-31 data set'!$K$4:$K$484,"Exeter",'Full 1801-31 data set'!Z$4:Z$484)</f>
        <v>18896</v>
      </c>
      <c r="P9" s="8">
        <f>SUMIF('Full 1801-31 data set'!$K$4:$K$484,"Exeter",'Full 1801-31 data set'!AA$4:AA$484)</f>
        <v>23479</v>
      </c>
      <c r="Q9" s="8">
        <f>SUMIF('Full 1801-31 data set'!$K$4:$K$484,"Exeter",'Full 1801-31 data set'!AB$4:AB$484)</f>
        <v>28201</v>
      </c>
      <c r="R9" s="17">
        <f t="shared" si="12"/>
        <v>1.0861018507874469</v>
      </c>
      <c r="S9" s="17">
        <f t="shared" si="13"/>
        <v>1.2425381033022862</v>
      </c>
      <c r="T9" s="17">
        <f t="shared" si="14"/>
        <v>1.2011158907960304</v>
      </c>
      <c r="U9" s="17">
        <f t="shared" si="15"/>
        <v>1.6209334406253593</v>
      </c>
      <c r="V9" s="18">
        <f t="shared" si="16"/>
        <v>20729.2</v>
      </c>
      <c r="W9" s="73">
        <f>SUMIF('Full 1801-31 data set'!$K$4:$K$484,"Exeter",'Full 1801-31 data set'!AH$4:AH$484)</f>
        <v>54230</v>
      </c>
      <c r="X9" s="70">
        <f t="shared" si="17"/>
        <v>2.6161163961947396</v>
      </c>
      <c r="Y9" s="74">
        <f t="shared" si="18"/>
        <v>0.55629356952433495</v>
      </c>
    </row>
    <row r="10" spans="1:25" x14ac:dyDescent="0.2">
      <c r="W10" s="69"/>
    </row>
    <row r="11" spans="1:25" x14ac:dyDescent="0.2">
      <c r="A11" s="15" t="s">
        <v>514</v>
      </c>
      <c r="B11" s="20"/>
      <c r="G11" s="18">
        <f>SUM(G2:G9)</f>
        <v>341047</v>
      </c>
      <c r="V11" s="18">
        <f>SUM(V2:V9)</f>
        <v>402889.60000000003</v>
      </c>
      <c r="W11" s="73">
        <f>SUM(W2:W9)</f>
        <v>1894694</v>
      </c>
      <c r="X11" s="70">
        <f>W11/V11</f>
        <v>4.7027622455382314</v>
      </c>
    </row>
    <row r="14" spans="1:25" x14ac:dyDescent="0.2">
      <c r="A14" s="21" t="s">
        <v>550</v>
      </c>
      <c r="B14" s="46" t="s">
        <v>553</v>
      </c>
    </row>
    <row r="15" spans="1:25" x14ac:dyDescent="0.2">
      <c r="A15" s="6" t="s">
        <v>456</v>
      </c>
      <c r="B15" s="22" t="s">
        <v>524</v>
      </c>
    </row>
    <row r="16" spans="1:25" x14ac:dyDescent="0.2">
      <c r="A16" s="6" t="s">
        <v>457</v>
      </c>
      <c r="B16" s="22" t="s">
        <v>528</v>
      </c>
    </row>
    <row r="17" spans="1:2" x14ac:dyDescent="0.2">
      <c r="B17" s="22" t="s">
        <v>523</v>
      </c>
    </row>
    <row r="18" spans="1:2" x14ac:dyDescent="0.2">
      <c r="B18" s="22" t="s">
        <v>522</v>
      </c>
    </row>
    <row r="19" spans="1:2" x14ac:dyDescent="0.2">
      <c r="A19" s="22" t="s">
        <v>458</v>
      </c>
      <c r="B19" s="6" t="s">
        <v>551</v>
      </c>
    </row>
    <row r="20" spans="1:2" x14ac:dyDescent="0.2">
      <c r="B20" s="6" t="s">
        <v>552</v>
      </c>
    </row>
    <row r="21" spans="1:2" x14ac:dyDescent="0.2">
      <c r="A21" s="22" t="s">
        <v>459</v>
      </c>
      <c r="B21" s="6" t="s">
        <v>525</v>
      </c>
    </row>
    <row r="22" spans="1:2" x14ac:dyDescent="0.2">
      <c r="B22" s="22" t="s">
        <v>526</v>
      </c>
    </row>
    <row r="23" spans="1:2" x14ac:dyDescent="0.2">
      <c r="A23" s="22" t="s">
        <v>460</v>
      </c>
      <c r="B23" s="22" t="s">
        <v>527</v>
      </c>
    </row>
    <row r="24" spans="1:2" x14ac:dyDescent="0.2">
      <c r="A24" s="22" t="s">
        <v>461</v>
      </c>
      <c r="B24" s="22" t="s">
        <v>529</v>
      </c>
    </row>
    <row r="25" spans="1:2" x14ac:dyDescent="0.2">
      <c r="B25" s="22" t="s">
        <v>530</v>
      </c>
    </row>
    <row r="26" spans="1:2" x14ac:dyDescent="0.2">
      <c r="A26" s="22" t="s">
        <v>462</v>
      </c>
      <c r="B26" s="22" t="s">
        <v>640</v>
      </c>
    </row>
    <row r="27" spans="1:2" x14ac:dyDescent="0.2">
      <c r="A27" s="22" t="s">
        <v>463</v>
      </c>
      <c r="B27" s="22" t="s">
        <v>641</v>
      </c>
    </row>
    <row r="28" spans="1:2" x14ac:dyDescent="0.2">
      <c r="A28" s="22" t="s">
        <v>531</v>
      </c>
      <c r="B28" s="22" t="s">
        <v>642</v>
      </c>
    </row>
  </sheetData>
  <autoFilter ref="A1:Y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1801-31 data set</vt:lpstr>
      <vt:lpstr> Parish Types</vt:lpstr>
      <vt:lpstr>Hundreds</vt:lpstr>
      <vt:lpstr> Deaneries</vt:lpstr>
      <vt:lpstr>Modern Districts</vt:lpstr>
      <vt:lpstr>Vancouver Dictricts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cp:lastPrinted>2011-04-08T07:57:00Z</cp:lastPrinted>
  <dcterms:created xsi:type="dcterms:W3CDTF">2007-12-08T10:15:28Z</dcterms:created>
  <dcterms:modified xsi:type="dcterms:W3CDTF">2015-12-07T10:26:05Z</dcterms:modified>
</cp:coreProperties>
</file>